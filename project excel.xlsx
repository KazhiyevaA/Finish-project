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Pivot Table 3" sheetId="2" r:id="rId5"/>
    <sheet state="visible" name="Лист2" sheetId="3" r:id="rId6"/>
  </sheets>
  <definedNames>
    <definedName hidden="1" localSheetId="0" name="_xlnm._FilterDatabase">'Лист1'!$A$1:$J$505</definedName>
    <definedName hidden="1" localSheetId="2" name="_xlnm._FilterDatabase">'Лист2'!$A$1:$F$505</definedName>
  </definedNames>
  <calcPr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p5GI8Lguth/s8Tu+11NI4NAgDeknWtVHlq3wjoUCC/U="/>
    </ext>
  </extLst>
</workbook>
</file>

<file path=xl/sharedStrings.xml><?xml version="1.0" encoding="utf-8"?>
<sst xmlns="http://schemas.openxmlformats.org/spreadsheetml/2006/main" count="1110" uniqueCount="34">
  <si>
    <t>ключ</t>
  </si>
  <si>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</si>
  <si>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</si>
  <si>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</si>
  <si>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</si>
  <si>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</si>
  <si>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</si>
  <si>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</si>
  <si>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</si>
  <si>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</si>
  <si>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</si>
  <si>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</si>
  <si>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</si>
  <si>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</si>
  <si>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</si>
  <si>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</si>
  <si>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</si>
  <si>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</si>
  <si>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</si>
  <si>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</si>
  <si>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</si>
  <si>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</si>
  <si>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</si>
  <si>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</si>
  <si>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</si>
  <si>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</si>
  <si>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</si>
  <si>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</si>
  <si>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Values</t>
  </si>
  <si>
    <t>Grand Total</t>
  </si>
  <si>
    <t>SUM of Товарооборот на склад</t>
  </si>
  <si>
    <t>Найти топ-3 территорий по доле в общем товарообороте и топ-3 территорий по товарообороту на склад за последнюю неделю.</t>
  </si>
  <si>
    <t>SUM of Товарооборот, руб</t>
  </si>
  <si>
    <t>Сформировать график с понедельной динамикой товарооборота и товарооборота на склад в целом по всем территориям.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</si>
</sst>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color theme="1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1" fillId="3" fontId="1" numFmtId="164" xfId="0" applyBorder="1" applyFill="1" applyFont="1" applyNumberFormat="1"/>
    <xf borderId="2" fillId="3" fontId="1" numFmtId="0" xfId="0" applyBorder="1" applyFont="1"/>
    <xf borderId="0" fillId="0" fontId="4" numFmtId="0" xfId="0" applyFont="1"/>
    <xf borderId="0" fillId="0" fontId="3" numFmtId="0" xfId="0" applyFont="1"/>
    <xf borderId="4" fillId="0" fontId="1" numFmtId="164" xfId="0" applyBorder="1" applyFont="1" applyNumberFormat="1"/>
    <xf borderId="5" fillId="0" fontId="1" numFmtId="0" xfId="0" applyBorder="1" applyFont="1"/>
    <xf borderId="6" fillId="0" fontId="1" numFmtId="164" xfId="0" applyBorder="1" applyFont="1" applyNumberFormat="1"/>
    <xf borderId="7" fillId="0" fontId="1" numFmtId="0" xfId="0" applyBorder="1" applyFont="1"/>
    <xf borderId="0" fillId="0" fontId="5" numFmtId="0" xfId="0" applyAlignment="1" applyFont="1">
      <alignment readingOrder="0"/>
    </xf>
    <xf borderId="0" fillId="0" fontId="3" numFmtId="2" xfId="0" applyFont="1" applyNumberFormat="1"/>
    <xf borderId="0" fillId="0" fontId="3" numFmtId="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Доля товарооборота по территориям Итого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3'!$B$26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DD7EE"/>
              </a:solidFill>
            </c:spPr>
          </c:dPt>
          <c:dPt>
            <c:idx val="17"/>
            <c:spPr>
              <a:solidFill>
                <a:srgbClr val="C6DEB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3'!$A$27:$A$44</c:f>
            </c:strRef>
          </c:cat>
          <c:val>
            <c:numRef>
              <c:f>'Pivot Table 3'!$B$27:$B$44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EBEFF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Товарооборот на складе за неделю по территории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3'!$B$49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'Pivot Table 3'!$A$50:$A$68</c:f>
            </c:strRef>
          </c:cat>
          <c:val>
            <c:numRef>
              <c:f>'Pivot Table 3'!$B$50:$B$68</c:f>
              <c:numCache/>
            </c:numRef>
          </c:val>
        </c:ser>
        <c:axId val="1686119418"/>
        <c:axId val="2038690984"/>
      </c:barChart>
      <c:catAx>
        <c:axId val="1686119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Товарооборот на склад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690984"/>
      </c:catAx>
      <c:valAx>
        <c:axId val="20386909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23 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119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BEFF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Товарооборот, руб и SUM of Товарооборот на склад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3'!$B$74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3'!$A$75:$A$80</c:f>
            </c:strRef>
          </c:cat>
          <c:val>
            <c:numRef>
              <c:f>'Pivot Table 3'!$B$75:$B$80</c:f>
              <c:numCache/>
            </c:numRef>
          </c:val>
        </c:ser>
        <c:ser>
          <c:idx val="1"/>
          <c:order val="1"/>
          <c:tx>
            <c:strRef>
              <c:f>'Pivot Table 3'!$C$74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3'!$A$75:$A$80</c:f>
            </c:strRef>
          </c:cat>
          <c:val>
            <c:numRef>
              <c:f>'Pivot Table 3'!$C$75:$C$80</c:f>
              <c:numCache/>
            </c:numRef>
          </c:val>
        </c:ser>
        <c:axId val="1152196876"/>
        <c:axId val="1659831689"/>
      </c:barChart>
      <c:catAx>
        <c:axId val="11521968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831689"/>
      </c:catAx>
      <c:valAx>
        <c:axId val="16598316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1968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BEFF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25</xdr:row>
      <xdr:rowOff>38100</xdr:rowOff>
    </xdr:from>
    <xdr:ext cx="5715000" cy="3800475"/>
    <xdr:graphicFrame>
      <xdr:nvGraphicFramePr>
        <xdr:cNvPr id="63491761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790575</xdr:colOff>
      <xdr:row>47</xdr:row>
      <xdr:rowOff>171450</xdr:rowOff>
    </xdr:from>
    <xdr:ext cx="5715000" cy="3981450"/>
    <xdr:graphicFrame>
      <xdr:nvGraphicFramePr>
        <xdr:cNvPr id="111374484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790575</xdr:colOff>
      <xdr:row>72</xdr:row>
      <xdr:rowOff>180975</xdr:rowOff>
    </xdr:from>
    <xdr:ext cx="5715000" cy="3581400"/>
    <xdr:graphicFrame>
      <xdr:nvGraphicFramePr>
        <xdr:cNvPr id="1991339101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J505" sheet="Лист1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05" sheet="Лист1"/>
  </cacheSource>
  <cacheFields>
    <cacheField name="ключ" numFmtId="0">
      <sharedItems>
        <s v="2020-05-31|Самара"/>
        <s v="2020-05-30|Самара"/>
        <s v="2020-05-28|Самара"/>
        <s v="2020-05-16|Кемерово"/>
        <s v="2020-05-19|Кемерово"/>
        <s v="2020-05-17|Кемерово"/>
        <s v="2020-05-09|Кемерово"/>
        <s v="2020-05-04|Кемерово"/>
        <s v="2020-04-29|Кемерово"/>
        <s v="2020-05-02|Кемерово"/>
        <s v="2020-05-26|Кемерово"/>
        <s v="2020-05-01|Кемерово"/>
        <s v="2020-05-12|Кемерово"/>
        <s v="2020-05-21|Кемерово"/>
        <s v="2020-05-20|Кемерово"/>
        <s v="2020-05-05|Кемерово"/>
        <s v="2020-04-28|Кемерово"/>
        <s v="2020-05-13|Кемерово"/>
        <s v="2020-05-03|Кемерово"/>
        <s v="2020-05-06|Кемерово"/>
        <s v="2020-05-23|Кемерово"/>
        <s v="2020-05-25|Кемерово"/>
        <s v="2020-04-30|Кемерово"/>
        <s v="2020-05-10|Кемерово"/>
        <s v="2020-05-08|Кемерово"/>
        <s v="2020-05-07|Кемерово"/>
        <s v="2020-05-24|Кемерово"/>
        <s v="2020-05-31|Кемерово"/>
        <s v="2020-05-30|Кемерово"/>
        <s v="2020-05-28|Кемерово"/>
        <s v="2020-05-16|Екатеринбург"/>
        <s v="2020-05-19|Екатеринбург"/>
        <s v="2020-05-17|Екатеринбург"/>
        <s v="2020-05-09|Екатеринбург"/>
        <s v="2020-05-04|Екатеринбург"/>
        <s v="2020-04-29|Екатеринбург"/>
        <s v="2020-05-02|Екатеринбург"/>
        <s v="2020-05-26|Екатеринбург"/>
        <s v="2020-05-01|Екатеринбург"/>
        <s v="2020-05-12|Екатеринбург"/>
        <s v="2020-05-21|Екатеринбург"/>
        <s v="2020-05-20|Екатеринбург"/>
        <s v="2020-05-05|Екатеринбург"/>
        <s v="2020-04-28|Екатеринбург"/>
        <s v="2020-05-13|Екатеринбург"/>
        <s v="2020-05-03|Екатеринбург"/>
        <s v="2020-05-06|Екатеринбург"/>
        <s v="2020-05-23|Екатеринбург"/>
        <s v="2020-05-25|Екатеринбург"/>
        <s v="2020-04-30|Екатеринбург"/>
        <s v="2020-05-10|Екатеринбург"/>
        <s v="2020-05-08|Екатеринбург"/>
        <s v="2020-05-07|Екатеринбург"/>
        <s v="2020-05-24|Екатеринбург"/>
        <s v="2020-05-16|Тольятти"/>
        <s v="2020-05-19|Тольятти"/>
        <s v="2020-05-17|Тольятти"/>
        <s v="2020-05-09|Тольятти"/>
        <s v="2020-05-04|Тольятти"/>
        <s v="2020-04-29|Тольятти"/>
        <s v="2020-05-02|Тольятти"/>
        <s v="2020-05-26|Тольятти"/>
        <s v="2020-05-01|Тольятти"/>
        <s v="2020-05-12|Тольятти"/>
        <s v="2020-05-21|Тольятти"/>
        <s v="2020-05-20|Тольятти"/>
        <s v="2020-05-05|Тольятти"/>
        <s v="2020-04-28|Тольятти"/>
        <s v="2020-05-13|Тольятти"/>
        <s v="2020-05-31|Екатеринбург"/>
        <s v="2020-05-03|Тольятти"/>
        <s v="2020-05-30|Екатеринбург"/>
        <s v="2020-05-06|Тольятти"/>
        <s v="2020-05-23|Тольятти"/>
        <s v="2020-05-28|Екатеринбург"/>
        <s v="2020-05-25|Тольятти"/>
        <s v="2020-04-30|Тольятти"/>
        <s v="2020-05-10|Тольятти"/>
        <s v="2020-05-08|Тольятти"/>
        <s v="2020-05-07|Тольятти"/>
        <s v="2020-05-24|Тольятти"/>
        <s v="2020-05-31|Тольятти"/>
        <s v="2020-05-30|Тольятти"/>
        <s v="2020-05-28|Тольятти"/>
        <s v="2020-05-16|Нижний Новгород"/>
        <s v="2020-05-19|Нижний Новгород"/>
        <s v="2020-05-17|Нижний Новгород"/>
        <s v="2020-05-09|Нижний Новгород"/>
        <s v="2020-05-04|Нижний Новгород"/>
        <s v="2020-04-29|Нижний Новгород"/>
        <s v="2020-05-02|Нижний Новгород"/>
        <s v="2020-05-26|Нижний Новгород"/>
        <s v="2020-05-01|Нижний Новгород"/>
        <s v="2020-05-12|Нижний Новгород"/>
        <s v="2020-05-21|Нижний Новгород"/>
        <s v="2020-05-20|Нижний Новгород"/>
        <s v="2020-05-05|Нижний Новгород"/>
        <s v="2020-04-28|Нижний Новгород"/>
        <s v="2020-05-13|Нижний Новгород"/>
        <s v="2020-05-03|Нижний Новгород"/>
        <s v="2020-05-06|Нижний Новгород"/>
        <s v="2020-05-23|Нижний Новгород"/>
        <s v="2020-05-25|Нижний Новгород"/>
        <s v="2020-04-30|Нижний Новгород"/>
        <s v="2020-05-10|Нижний Новгород"/>
        <s v="2020-05-08|Нижний Новгород"/>
        <s v="2020-05-07|Нижний Новгород"/>
        <s v="2020-05-24|Нижний Новгород"/>
        <s v="2020-05-31|Нижний Новгород"/>
        <s v="2020-05-30|Нижний Новгород"/>
        <s v="2020-05-28|Нижний Новгород"/>
        <s v="2020-05-16|Санкт-Петербург Юг"/>
        <s v="2020-05-19|Санкт-Петербург Юг"/>
        <s v="2020-05-17|Санкт-Петербург Юг"/>
        <s v="2020-05-09|Санкт-Петербург Юг"/>
        <s v="2020-05-04|Санкт-Петербург Юг"/>
        <s v="2020-04-29|Санкт-Петербург Юг"/>
        <s v="2020-05-02|Санкт-Петербург Юг"/>
        <s v="2020-05-26|Санкт-Петербург Юг"/>
        <s v="2020-05-01|Санкт-Петербург Юг"/>
        <s v="2020-05-12|Санкт-Петербург Юг"/>
        <s v="2020-05-21|Санкт-Петербург Юг"/>
        <s v="2020-05-20|Санкт-Петербург Юг"/>
        <s v="2020-05-05|Санкт-Петербург Юг"/>
        <s v="2020-04-28|Санкт-Петербург Юг"/>
        <s v="2020-05-13|Санкт-Петербург Юг"/>
        <s v="2020-05-03|Санкт-Петербург Юг"/>
        <s v="2020-05-06|Санкт-Петербург Юг"/>
        <s v="2020-05-23|Санкт-Петербург Юг"/>
        <s v="2020-05-25|Санкт-Петербург Юг"/>
        <s v="2020-04-30|Санкт-Петербург Юг"/>
        <s v="2020-05-10|Санкт-Петербург Юг"/>
        <s v="2020-05-08|Санкт-Петербург Юг"/>
        <s v="2020-05-07|Санкт-Петербург Юг"/>
        <s v="2020-05-24|Санкт-Петербург Юг"/>
        <s v="2020-05-16|Санкт-Петербург Север"/>
        <s v="2020-05-19|Санкт-Петербург Север"/>
        <s v="2020-05-17|Санкт-Петербург Север"/>
        <s v="2020-05-09|Санкт-Петербург Север"/>
        <s v="2020-05-04|Санкт-Петербург Север"/>
        <s v="2020-04-29|Санкт-Петербург Север"/>
        <s v="2020-05-02|Санкт-Петербург Север"/>
        <s v="2020-05-26|Санкт-Петербург Север"/>
        <s v="2020-05-01|Санкт-Петербург Север"/>
        <s v="2020-05-12|Санкт-Петербург Север"/>
        <s v="2020-05-21|Санкт-Петербург Север"/>
        <s v="2020-05-20|Санкт-Петербург Север"/>
        <s v="2020-05-05|Санкт-Петербург Север"/>
        <s v="2020-04-28|Санкт-Петербург Север"/>
        <s v="2020-05-13|Санкт-Петербург Север"/>
        <s v="2020-05-31|Санкт-Петербург Юг"/>
        <s v="2020-05-03|Санкт-Петербург Север"/>
        <s v="2020-05-30|Санкт-Петербург Юг"/>
        <s v="2020-05-06|Санкт-Петербург Север"/>
        <s v="2020-05-23|Санкт-Петербург Север"/>
        <s v="2020-05-28|Санкт-Петербург Юг"/>
        <s v="2020-05-25|Санкт-Петербург Север"/>
        <s v="2020-04-30|Санкт-Петербург Север"/>
        <s v="2020-05-10|Санкт-Петербург Север"/>
        <s v="2020-05-08|Санкт-Петербург Север"/>
        <s v="2020-05-07|Санкт-Петербург Север"/>
        <s v="2020-05-24|Санкт-Петербург Север"/>
        <s v="2020-05-16|Волгоград"/>
        <s v="2020-05-19|Волгоград"/>
        <s v="2020-05-17|Волгоград"/>
        <s v="2020-05-09|Волгоград"/>
        <s v="2020-05-04|Волгоград"/>
        <s v="2020-04-29|Волгоград"/>
        <s v="2020-05-02|Волгоград"/>
        <s v="2020-05-26|Волгоград"/>
        <s v="2020-05-01|Волгоград"/>
        <s v="2020-05-12|Волгоград"/>
        <s v="2020-05-21|Волгоград"/>
        <s v="2020-05-20|Волгоград"/>
        <s v="2020-05-05|Волгоград"/>
        <s v="2020-04-28|Волгоград"/>
        <s v="2020-05-13|Волгоград"/>
        <s v="2020-05-31|Санкт-Петербург Север"/>
        <s v="2020-05-03|Волгоград"/>
        <s v="2020-05-30|Санкт-Петербург Север"/>
        <s v="2020-05-06|Волгоград"/>
        <s v="2020-05-23|Волгоград"/>
        <s v="2020-05-28|Санкт-Петербург Север"/>
        <s v="2020-05-25|Волгоград"/>
        <s v="2020-04-30|Волгоград"/>
        <s v="2020-05-10|Волгоград"/>
        <s v="2020-05-08|Волгоград"/>
        <s v="2020-05-07|Волгоград"/>
        <s v="2020-05-24|Волгоград"/>
        <s v="2020-05-16|Казань"/>
        <s v="2020-05-19|Казань"/>
        <s v="2020-05-17|Казань"/>
        <s v="2020-05-09|Казань"/>
        <s v="2020-05-04|Казань"/>
        <s v="2020-04-29|Казань"/>
        <s v="2020-05-02|Казань"/>
        <s v="2020-05-26|Казань"/>
        <s v="2020-05-01|Казань"/>
        <s v="2020-05-12|Казань"/>
        <s v="2020-05-21|Казань"/>
        <s v="2020-05-20|Казань"/>
        <s v="2020-05-05|Казань"/>
        <s v="2020-04-28|Казань"/>
        <s v="2020-05-13|Казань"/>
        <s v="2020-05-31|Волгоград"/>
        <s v="2020-05-03|Казань"/>
        <s v="2020-05-30|Волгоград"/>
        <s v="2020-05-06|Казань"/>
        <s v="2020-05-23|Казань"/>
        <s v="2020-05-28|Волгоград"/>
        <s v="2020-05-25|Казань"/>
        <s v="2020-04-30|Казань"/>
        <s v="2020-05-10|Казань"/>
        <s v="2020-05-08|Казань"/>
        <s v="2020-05-07|Казань"/>
        <s v="2020-05-24|Казань"/>
        <s v="2020-05-31|Казань"/>
        <s v="2020-05-30|Казань"/>
        <s v="2020-05-28|Казань"/>
        <s v="2020-05-16|Пермь"/>
        <s v="2020-05-19|Пермь"/>
        <s v="2020-05-17|Пермь"/>
        <s v="2020-05-09|Пермь"/>
        <s v="2020-05-04|Пермь"/>
        <s v="2020-04-29|Пермь"/>
        <s v="2020-05-02|Пермь"/>
        <s v="2020-05-26|Пермь"/>
        <s v="2020-05-01|Пермь"/>
        <s v="2020-05-12|Пермь"/>
        <s v="2020-05-21|Пермь"/>
        <s v="2020-05-20|Пермь"/>
        <s v="2020-05-05|Пермь"/>
        <s v="2020-04-28|Пермь"/>
        <s v="2020-05-13|Пермь"/>
        <s v="2020-05-03|Пермь"/>
        <s v="2020-05-06|Пермь"/>
        <s v="2020-05-23|Пермь"/>
        <s v="2020-05-25|Пермь"/>
        <s v="2020-04-30|Пермь"/>
        <s v="2020-05-10|Пермь"/>
        <s v="2020-05-08|Пермь"/>
        <s v="2020-05-07|Пермь"/>
        <s v="2020-05-24|Пермь"/>
        <s v="2020-05-16|Ростов-на-Дону"/>
        <s v="2020-05-19|Ростов-на-Дону"/>
        <s v="2020-05-17|Ростов-на-Дону"/>
        <s v="2020-05-09|Ростов-на-Дону"/>
        <s v="2020-05-04|Ростов-на-Дону"/>
        <s v="2020-04-29|Краснодар"/>
        <s v="2020-05-02|Ростов-на-Дону"/>
        <s v="2020-05-26|Ростов-на-Дону"/>
        <s v="2020-05-01|Ростов-на-Дону"/>
        <s v="2020-05-12|Ростов-на-Дону"/>
        <s v="2020-05-21|Ростов-на-Дону"/>
        <s v="2020-05-20|Ростов-на-Дону"/>
        <s v="2020-05-05|Ростов-на-Дону"/>
        <s v="2020-04-28|Краснодар"/>
        <s v="2020-05-13|Ростов-на-Дону"/>
        <s v="2020-05-31|Пермь"/>
        <s v="2020-05-03|Ростов-на-Дону"/>
        <s v="2020-05-30|Пермь"/>
        <s v="2020-05-06|Ростов-на-Дону"/>
        <s v="2020-05-23|Ростов-на-Дону"/>
        <s v="2020-05-28|Пермь"/>
        <s v="2020-05-25|Ростов-на-Дону"/>
        <s v="2020-04-30|Ростов-на-Дону"/>
        <s v="2020-05-10|Ростов-на-Дону"/>
        <s v="2020-05-08|Ростов-на-Дону"/>
        <s v="2020-05-07|Ростов-на-Дону"/>
        <s v="2020-05-24|Ростов-на-Дону"/>
        <s v="2020-05-16|Краснодар"/>
        <s v="2020-05-19|Краснодар"/>
        <s v="2020-05-17|Краснодар"/>
        <s v="2020-05-09|Краснодар"/>
        <s v="2020-05-04|Краснодар"/>
        <s v="2020-05-02|Краснодар"/>
        <s v="2020-05-26|Краснодар"/>
        <s v="2020-05-01|Краснодар"/>
        <s v="2020-05-12|Краснодар"/>
        <s v="2020-05-21|Краснодар"/>
        <s v="2020-05-20|Краснодар"/>
        <s v="2020-05-05|Краснодар"/>
        <s v="2020-05-13|Краснодар"/>
        <s v="2020-05-31|Ростов-на-Дону"/>
        <s v="2020-05-03|Краснодар"/>
        <s v="2020-05-30|Ростов-на-Дону"/>
        <s v="2020-05-06|Краснодар"/>
        <s v="2020-05-23|Краснодар"/>
        <s v="2020-05-28|Ростов-на-Дону"/>
        <s v="2020-05-25|Краснодар"/>
        <s v="2020-04-30|Краснодар"/>
        <s v="2020-05-10|Краснодар"/>
        <s v="2020-05-08|Краснодар"/>
        <s v="2020-05-07|Краснодар"/>
        <s v="2020-05-24|Краснодар"/>
        <s v="2020-04-29|Москва Запад"/>
        <s v="2020-04-28|Москва Запад"/>
        <s v="2020-05-31|Краснодар"/>
        <s v="2020-05-30|Краснодар"/>
        <s v="2020-05-28|Краснодар"/>
        <s v="2020-05-16|Москва Запад"/>
        <s v="2020-05-19|Москва Запад"/>
        <s v="2020-05-17|Москва Запад"/>
        <s v="2020-05-09|Москва Запад"/>
        <s v="2020-05-04|Москва Запад"/>
        <s v="2020-04-29|Москва Восток"/>
        <s v="2020-05-02|Москва Запад"/>
        <s v="2020-05-26|Москва Запад"/>
        <s v="2020-05-01|Москва Запад"/>
        <s v="2020-05-12|Москва Запад"/>
        <s v="2020-05-21|Москва Запад"/>
        <s v="2020-05-20|Москва Запад"/>
        <s v="2020-05-05|Москва Запад"/>
        <s v="2020-04-28|Москва Восток"/>
        <s v="2020-05-13|Москва Запад"/>
        <s v="2020-05-03|Москва Запад"/>
        <s v="2020-05-06|Москва Запад"/>
        <s v="2020-05-23|Москва Запад"/>
        <s v="2020-05-25|Москва Запад"/>
        <s v="2020-04-30|Москва Запад"/>
        <s v="2020-05-10|Москва Запад"/>
        <s v="2020-05-08|Москва Запад"/>
        <s v="2020-05-07|Москва Запад"/>
        <s v="2020-05-24|Москва Запад"/>
        <s v="2020-05-16|Москва Восток"/>
        <s v="2020-05-19|Москва Восток"/>
        <s v="2020-05-17|Москва Восток"/>
        <s v="2020-05-09|Москва Восток"/>
        <s v="2020-05-04|Москва Восток"/>
        <s v="2020-05-02|Москва Восток"/>
        <s v="2020-05-26|Москва Восток"/>
        <s v="2020-05-01|Москва Восток"/>
        <s v="2020-05-12|Москва Восток"/>
        <s v="2020-05-21|Москва Восток"/>
        <s v="2020-05-20|Москва Восток"/>
        <s v="2020-05-05|Москва Восток"/>
        <s v="2020-05-13|Москва Восток"/>
        <s v="2020-05-31|Москва Запад"/>
        <s v="2020-05-03|Москва Восток"/>
        <s v="2020-05-30|Москва Запад"/>
        <s v="2020-05-06|Москва Восток"/>
        <s v="2020-05-23|Москва Восток"/>
        <s v="2020-05-28|Москва Запад"/>
        <s v="2020-05-25|Москва Восток"/>
        <s v="2020-04-30|Москва Восток"/>
        <s v="2020-05-10|Москва Восток"/>
        <s v="2020-05-08|Москва Восток"/>
        <s v="2020-05-07|Москва Восток"/>
        <s v="2020-05-24|Москва Восток"/>
        <s v="2020-04-29|Новосибирск"/>
        <s v="2020-04-28|Новосибирск"/>
        <s v="2020-05-31|Москва Восток"/>
        <s v="2020-05-30|Москва Восток"/>
        <s v="2020-05-28|Москва Восток"/>
        <s v="2020-05-16|Новосибирск"/>
        <s v="2020-05-19|Новосибирск"/>
        <s v="2020-05-17|Новосибирск"/>
        <s v="2020-05-09|Новосибирск"/>
        <s v="2020-05-04|Новосибирск"/>
        <s v="2020-05-02|Новосибирск"/>
        <s v="2020-05-26|Тюмень"/>
        <s v="2020-05-01|Новосибирск"/>
        <s v="2020-05-12|Новосибирск"/>
        <s v="2020-05-21|Новосибирск"/>
        <s v="2020-05-20|Новосибирск"/>
        <s v="2020-05-05|Новосибирск"/>
        <s v="2020-05-13|Новосибирск"/>
        <s v="2020-05-03|Новосибирск"/>
        <s v="2020-05-06|Новосибирск"/>
        <s v="2020-05-23|Новосибирск"/>
        <s v="2020-05-25|Новосибирск"/>
        <s v="2020-04-30|Новосибирск"/>
        <s v="2020-05-10|Новосибирск"/>
        <s v="2020-05-08|Новосибирск"/>
        <s v="2020-05-07|Новосибирск"/>
        <s v="2020-05-24|Новосибирск"/>
        <s v="2020-05-26|Новосибирск"/>
        <s v="2020-06-01|Самара"/>
        <s v="2020-05-31|Томск"/>
        <s v="2020-05-30|Тюмень"/>
        <s v="2020-05-29|Самара"/>
        <s v="2020-05-28|Тюмень"/>
        <s v="2020-05-27|Кемерово"/>
        <s v="2020-05-22|Кемерово"/>
        <s v="2020-05-31|Уфа"/>
        <s v="2020-05-11|Кемерово"/>
        <s v="2020-05-30|Новосибирск"/>
        <s v="2020-05-28|Новосибирск"/>
        <s v="2020-05-18|Кемерово"/>
        <s v="2020-05-14|Кемерово"/>
        <s v="2020-05-15|Кемерово"/>
        <s v="2020-06-01|Кемерово"/>
        <s v="2020-05-31|Тюмень"/>
        <s v="2020-05-29|Кемерово"/>
        <s v="2020-05-27|Екатеринбург"/>
        <s v="2020-05-22|Екатеринбург"/>
        <s v="2020-06-01|Екатеринбург"/>
        <s v="2020-05-31|Новосибирск"/>
        <s v="2020-05-11|Екатеринбург"/>
        <s v="2020-05-18|Екатеринбург"/>
        <s v="2020-05-14|Екатеринбург"/>
        <s v="2020-05-15|Екатеринбург"/>
        <s v="2020-05-27|Тольятти"/>
        <s v="2020-05-22|Тольятти"/>
        <s v="2020-06-01|Тольятти"/>
        <s v="2020-05-11|Тольятти"/>
        <s v="2020-05-29|Екатеринбург"/>
        <s v="2020-05-18|Тольятти"/>
        <s v="2020-05-14|Тольятти"/>
        <s v="2020-05-15|Тольятти"/>
        <s v="2020-05-29|Тольятти"/>
        <s v="2020-05-27|Нижний Новгород"/>
        <s v="2020-05-22|Нижний Новгород"/>
        <s v="2020-06-01|Нижний Новгород"/>
        <s v="2020-05-11|Нижний Новгород"/>
        <s v="2020-05-18|Нижний Новгород"/>
        <s v="2020-05-14|Нижний Новгород"/>
        <s v="2020-05-15|Нижний Новгород"/>
        <s v="2020-05-29|Нижний Новгород"/>
        <s v="2020-05-27|Санкт-Петербург Юг"/>
        <s v="2020-05-22|Санкт-Петербург Юг"/>
        <s v="2020-06-01|Санкт-Петербург Юг"/>
        <s v="2020-05-11|Санкт-Петербург Юг"/>
        <s v="2020-05-18|Санкт-Петербург Юг"/>
        <s v="2020-05-14|Санкт-Петербург Юг"/>
        <s v="2020-05-15|Санкт-Петербург Юг"/>
        <s v="2020-05-27|Санкт-Петербург Север"/>
        <s v="2020-05-22|Санкт-Петербург Север"/>
        <s v="2020-06-01|Санкт-Петербург Север"/>
        <s v="2020-05-11|Санкт-Петербург Север"/>
        <s v="2020-05-29|Санкт-Петербург Юг"/>
        <s v="2020-05-18|Санкт-Петербург Север"/>
        <s v="2020-05-14|Санкт-Петербург Север"/>
        <s v="2020-05-15|Санкт-Петербург Север"/>
        <s v="2020-05-27|Волгоград"/>
        <s v="2020-05-22|Волгоград"/>
        <s v="2020-06-01|Волгоград"/>
        <s v="2020-05-11|Волгоград"/>
        <s v="2020-05-29|Санкт-Петербург Север"/>
        <s v="2020-05-18|Волгоград"/>
        <s v="2020-05-14|Волгоград"/>
        <s v="2020-05-15|Волгоград"/>
        <s v="2020-05-27|Казань"/>
        <s v="2020-05-22|Казань"/>
        <s v="2020-06-01|Казань"/>
        <s v="2020-05-11|Казань"/>
        <s v="2020-05-29|Волгоград"/>
        <s v="2020-05-18|Казань"/>
        <s v="2020-05-14|Казань"/>
        <s v="2020-05-15|Казань"/>
        <s v="2020-05-29|Казань"/>
        <s v="2020-05-27|Пермь"/>
        <s v="2020-05-22|Пермь"/>
        <s v="2020-06-01|Пермь"/>
        <s v="2020-05-11|Пермь"/>
        <s v="2020-05-18|Пермь"/>
        <s v="2020-05-14|Пермь"/>
        <s v="2020-05-15|Пермь"/>
        <s v="2020-05-27|Ростов-на-Дону"/>
        <s v="2020-05-22|Ростов-на-Дону"/>
        <s v="2020-06-01|Ростов-на-Дону"/>
        <s v="2020-05-11|Ростов-на-Дону"/>
        <s v="2020-05-29|Пермь"/>
        <s v="2020-05-18|Ростов-на-Дону"/>
        <s v="2020-05-14|Ростов-на-Дону"/>
        <s v="2020-05-15|Ростов-на-Дону"/>
        <s v="2020-05-27|Краснодар"/>
        <s v="2020-05-22|Краснодар"/>
        <s v="2020-06-01|Краснодар"/>
        <s v="2020-05-11|Краснодар"/>
        <s v="2020-05-29|Ростов-на-Дону"/>
        <s v="2020-05-18|Краснодар"/>
        <s v="2020-05-14|Краснодар"/>
        <s v="2020-05-15|Краснодар"/>
        <s v="2020-05-29|Краснодар"/>
        <s v="2020-05-27|Москва Запад"/>
        <s v="2020-05-22|Москва Запад"/>
        <s v="2020-06-01|Москва Запад"/>
        <s v="2020-05-11|Москва Запад"/>
        <s v="2020-05-18|Москва Запад"/>
        <s v="2020-05-14|Москва Запад"/>
        <s v="2020-05-15|Москва Запад"/>
        <s v="2020-05-27|Москва Восток"/>
        <s v="2020-05-22|Москва Восток"/>
        <s v="2020-06-01|Москва Восток"/>
        <s v="2020-05-11|Москва Восток"/>
        <s v="2020-05-29|Москва Запад"/>
        <s v="2020-05-18|Москва Восток"/>
        <s v="2020-05-14|Москва Восток"/>
        <s v="2020-05-15|Москва Восток"/>
        <s v="2020-05-29|Москва Восток"/>
        <s v="2020-05-27|Тюмень"/>
        <s v="2020-05-22|Новосибирск"/>
        <s v="2020-06-01|Томск"/>
        <s v="2020-05-11|Новосибирск"/>
        <s v="2020-05-18|Новосибирск"/>
        <s v="2020-05-14|Новосибирск"/>
        <s v="2020-05-15|Новосибирск"/>
        <s v="2020-05-27|Новосибирск"/>
        <s v="2020-06-01|Уфа"/>
        <s v="2020-05-29|Тюмень"/>
        <s v="2020-06-01|Тюмень"/>
        <s v="2020-05-29|Новосибирск"/>
        <s v="2020-06-01|Новосибирск"/>
      </sharedItems>
    </cacheField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O22" firstHeaderRow="0" firstDataRow="2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Col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1"/>
  </rowFields>
  <colFields>
    <field x="8"/>
    <field x="-2"/>
  </colFields>
  <dataFields>
    <dataField name="SUM of Товарооборот на склад" fld="7" baseField="0"/>
    <dataField name="SUM of Товарооборот на склад" fld="7" baseField="0"/>
  </dataFields>
</pivotTableDefinition>
</file>

<file path=xl/pivotTables/pivotTable2.xml><?xml version="1.0" encoding="utf-8"?>
<pivotTableDefinition xmlns="http://schemas.openxmlformats.org/spreadsheetml/2006/main" name="Pivot Table 3 2" cacheId="1" dataCaption="" compact="0" compactData="0">
  <location ref="A28:B47" firstHeaderRow="0" firstDataRow="1" firstDataCol="0" rowPageCount="1" colPageCount="1"/>
  <pivotFields>
    <pivotField name="ключ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pageFields>
    <pageField fld="4"/>
  </pageFields>
  <dataFields>
    <dataField name="SUM of Товарооборот, руб" fld="4" baseField="0"/>
  </dataFields>
</pivotTableDefinition>
</file>

<file path=xl/pivotTables/pivotTable3.xml><?xml version="1.0" encoding="utf-8"?>
<pivotTableDefinition xmlns="http://schemas.openxmlformats.org/spreadsheetml/2006/main" name="Pivot Table 3 3" cacheId="1" dataCaption="" colGrandTotals="0" compact="0" compactData="0">
  <location ref="A49:B69" firstHeaderRow="0" firstDataRow="1" firstDataCol="1"/>
  <pivotFields>
    <pivotField name="ключ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Col" compact="0" outline="0" multipleItemSelectionAllowed="1" showAll="0" sortType="ascending">
      <items>
        <item h="1" x="4"/>
        <item h="1" x="3"/>
        <item h="1" x="1"/>
        <item h="1" x="2"/>
        <item h="1" x="0"/>
        <item x="5"/>
        <item t="default"/>
      </items>
    </pivotField>
  </pivotFields>
  <rowFields>
    <field x="2"/>
  </rowFields>
  <colFields>
    <field x="9"/>
  </colFields>
  <dataFields>
    <dataField name="SUM of Товарооборот на склад" fld="8" baseField="0"/>
  </dataFields>
</pivotTableDefinition>
</file>

<file path=xl/pivotTables/pivotTable4.xml><?xml version="1.0" encoding="utf-8"?>
<pivotTableDefinition xmlns="http://schemas.openxmlformats.org/spreadsheetml/2006/main" name="Pivot Table 3 4" cacheId="1" dataCaption="" compact="0" compactData="0">
  <location ref="A74:C81" firstHeaderRow="0" firstDataRow="2" firstDataCol="0"/>
  <pivotFields>
    <pivotField name="ключ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9"/>
  </rowFields>
  <colFields>
    <field x="-2"/>
  </colFields>
  <dataFields>
    <dataField name="SUM of Товарооборот, руб" fld="4" baseField="0"/>
    <dataField name="SUM of Товарооборот на склад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0.43"/>
    <col customWidth="1" min="3" max="3" width="21.71"/>
    <col customWidth="1" min="4" max="4" width="26.14"/>
    <col customWidth="1" min="5" max="5" width="24.14"/>
    <col customWidth="1" min="6" max="6" width="30.29"/>
    <col customWidth="1" min="7" max="7" width="22.0"/>
    <col customWidth="1" min="8" max="8" width="28.57"/>
    <col customWidth="1" min="9" max="9" width="26.29"/>
    <col customWidth="1" min="10" max="10" width="17.43"/>
    <col customWidth="1" min="12" max="25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 t="str">
        <f t="shared" ref="A2:A505" si="1">TEXT(B2,"yyyy-mm-dd") &amp; "|" &amp; C2</f>
        <v>2020-05-31|Самара</v>
      </c>
      <c r="B2" s="7">
        <v>43982.0</v>
      </c>
      <c r="C2" s="8" t="s">
        <v>10</v>
      </c>
      <c r="D2" s="8">
        <v>7944.0</v>
      </c>
      <c r="E2" s="8">
        <v>623971.5</v>
      </c>
      <c r="F2" s="9">
        <f>VLOOKUP(A2,'Лист2'!$A$1:$F$505,4,FALSE)</f>
        <v>15</v>
      </c>
      <c r="G2" s="9">
        <f>VLOOKUP(A2,'Лист2'!$A$1:$F$505,5,FALSE)</f>
        <v>441</v>
      </c>
      <c r="H2" s="9">
        <f>VLOOKUP(A2,'Лист2'!$A$1:$F$505,6,FALSE)</f>
        <v>368</v>
      </c>
      <c r="I2" s="10">
        <f t="shared" ref="I2:I505" si="2">E2/F2</f>
        <v>41598.1</v>
      </c>
      <c r="J2" s="10">
        <f t="shared" ref="J2:J505" si="3">WEEKNUM(B2, 2)</f>
        <v>22</v>
      </c>
    </row>
    <row r="3" ht="14.25" customHeight="1">
      <c r="A3" s="6" t="str">
        <f t="shared" si="1"/>
        <v>2020-05-30|Самара</v>
      </c>
      <c r="B3" s="11">
        <v>43981.0</v>
      </c>
      <c r="C3" s="12" t="s">
        <v>10</v>
      </c>
      <c r="D3" s="12">
        <v>10029.0</v>
      </c>
      <c r="E3" s="12">
        <v>787101.0</v>
      </c>
      <c r="F3" s="9">
        <f>VLOOKUP(A3,'Лист2'!$A$1:$F$505,4,FALSE)</f>
        <v>15</v>
      </c>
      <c r="G3" s="9">
        <f>VLOOKUP(A3,'Лист2'!$A$1:$F$505,5,FALSE)</f>
        <v>490</v>
      </c>
      <c r="H3" s="9">
        <f>VLOOKUP(A3,'Лист2'!$A$1:$F$505,6,FALSE)</f>
        <v>409</v>
      </c>
      <c r="I3" s="10">
        <f t="shared" si="2"/>
        <v>52473.4</v>
      </c>
      <c r="J3" s="10">
        <f t="shared" si="3"/>
        <v>22</v>
      </c>
    </row>
    <row r="4" ht="14.25" customHeight="1">
      <c r="A4" s="6" t="str">
        <f t="shared" si="1"/>
        <v>2020-05-28|Самара</v>
      </c>
      <c r="B4" s="7">
        <v>43979.0</v>
      </c>
      <c r="C4" s="8" t="s">
        <v>10</v>
      </c>
      <c r="D4" s="8">
        <v>8536.5</v>
      </c>
      <c r="E4" s="8">
        <v>643944.0</v>
      </c>
      <c r="F4" s="9">
        <f>VLOOKUP(A4,'Лист2'!$A$1:$F$505,4,FALSE)</f>
        <v>15</v>
      </c>
      <c r="G4" s="9">
        <f>VLOOKUP(A4,'Лист2'!$A$1:$F$505,5,FALSE)</f>
        <v>464</v>
      </c>
      <c r="H4" s="9">
        <f>VLOOKUP(A4,'Лист2'!$A$1:$F$505,6,FALSE)</f>
        <v>390</v>
      </c>
      <c r="I4" s="10">
        <f t="shared" si="2"/>
        <v>42929.6</v>
      </c>
      <c r="J4" s="10">
        <f t="shared" si="3"/>
        <v>22</v>
      </c>
    </row>
    <row r="5" ht="14.25" customHeight="1">
      <c r="A5" s="6" t="str">
        <f t="shared" si="1"/>
        <v>2020-05-16|Кемерово</v>
      </c>
      <c r="B5" s="11">
        <v>43967.0</v>
      </c>
      <c r="C5" s="12" t="s">
        <v>11</v>
      </c>
      <c r="D5" s="12">
        <v>38947.5</v>
      </c>
      <c r="E5" s="12">
        <v>3395892.0</v>
      </c>
      <c r="F5" s="9">
        <f>VLOOKUP(A5,'Лист2'!$A$1:$F$505,4,FALSE)</f>
        <v>21</v>
      </c>
      <c r="G5" s="9">
        <f>VLOOKUP(A5,'Лист2'!$A$1:$F$505,5,FALSE)</f>
        <v>2145</v>
      </c>
      <c r="H5" s="9">
        <f>VLOOKUP(A5,'Лист2'!$A$1:$F$505,6,FALSE)</f>
        <v>1947</v>
      </c>
      <c r="I5" s="10">
        <f t="shared" si="2"/>
        <v>161709.1429</v>
      </c>
      <c r="J5" s="10">
        <f t="shared" si="3"/>
        <v>20</v>
      </c>
    </row>
    <row r="6" ht="14.25" customHeight="1">
      <c r="A6" s="6" t="str">
        <f t="shared" si="1"/>
        <v>2020-05-19|Кемерово</v>
      </c>
      <c r="B6" s="7">
        <v>43970.0</v>
      </c>
      <c r="C6" s="8" t="s">
        <v>11</v>
      </c>
      <c r="D6" s="8">
        <v>31842.0</v>
      </c>
      <c r="E6" s="8">
        <v>2771116.5</v>
      </c>
      <c r="F6" s="9">
        <f>VLOOKUP(A6,'Лист2'!$A$1:$F$505,4,FALSE)</f>
        <v>21</v>
      </c>
      <c r="G6" s="9">
        <f>VLOOKUP(A6,'Лист2'!$A$1:$F$505,5,FALSE)</f>
        <v>1860</v>
      </c>
      <c r="H6" s="9">
        <f>VLOOKUP(A6,'Лист2'!$A$1:$F$505,6,FALSE)</f>
        <v>1704</v>
      </c>
      <c r="I6" s="10">
        <f t="shared" si="2"/>
        <v>131957.9286</v>
      </c>
      <c r="J6" s="10">
        <f t="shared" si="3"/>
        <v>21</v>
      </c>
    </row>
    <row r="7" ht="14.25" customHeight="1">
      <c r="A7" s="6" t="str">
        <f t="shared" si="1"/>
        <v>2020-05-17|Кемерово</v>
      </c>
      <c r="B7" s="11">
        <v>43968.0</v>
      </c>
      <c r="C7" s="12" t="s">
        <v>11</v>
      </c>
      <c r="D7" s="12">
        <v>32023.5</v>
      </c>
      <c r="E7" s="12">
        <v>2882458.5</v>
      </c>
      <c r="F7" s="9">
        <f>VLOOKUP(A7,'Лист2'!$A$1:$F$505,4,FALSE)</f>
        <v>21</v>
      </c>
      <c r="G7" s="9">
        <f>VLOOKUP(A7,'Лист2'!$A$1:$F$505,5,FALSE)</f>
        <v>1874</v>
      </c>
      <c r="H7" s="9">
        <f>VLOOKUP(A7,'Лист2'!$A$1:$F$505,6,FALSE)</f>
        <v>1705</v>
      </c>
      <c r="I7" s="10">
        <f t="shared" si="2"/>
        <v>137259.9286</v>
      </c>
      <c r="J7" s="10">
        <f t="shared" si="3"/>
        <v>20</v>
      </c>
    </row>
    <row r="8" ht="14.25" customHeight="1">
      <c r="A8" s="6" t="str">
        <f t="shared" si="1"/>
        <v>2020-05-09|Кемерово</v>
      </c>
      <c r="B8" s="7">
        <v>43960.0</v>
      </c>
      <c r="C8" s="8" t="s">
        <v>11</v>
      </c>
      <c r="D8" s="8">
        <v>31147.5</v>
      </c>
      <c r="E8" s="8">
        <v>2831019.0</v>
      </c>
      <c r="F8" s="9">
        <f>VLOOKUP(A8,'Лист2'!$A$1:$F$505,4,FALSE)</f>
        <v>21</v>
      </c>
      <c r="G8" s="9">
        <f>VLOOKUP(A8,'Лист2'!$A$1:$F$505,5,FALSE)</f>
        <v>1735</v>
      </c>
      <c r="H8" s="9">
        <f>VLOOKUP(A8,'Лист2'!$A$1:$F$505,6,FALSE)</f>
        <v>1568</v>
      </c>
      <c r="I8" s="10">
        <f t="shared" si="2"/>
        <v>134810.4286</v>
      </c>
      <c r="J8" s="10">
        <f t="shared" si="3"/>
        <v>19</v>
      </c>
    </row>
    <row r="9" ht="14.25" customHeight="1">
      <c r="A9" s="6" t="str">
        <f t="shared" si="1"/>
        <v>2020-05-04|Кемерово</v>
      </c>
      <c r="B9" s="11">
        <v>43955.0</v>
      </c>
      <c r="C9" s="12" t="s">
        <v>11</v>
      </c>
      <c r="D9" s="12">
        <v>25566.0</v>
      </c>
      <c r="E9" s="12">
        <v>2372310.0</v>
      </c>
      <c r="F9" s="9">
        <f>VLOOKUP(A9,'Лист2'!$A$1:$F$505,4,FALSE)</f>
        <v>20</v>
      </c>
      <c r="G9" s="9">
        <f>VLOOKUP(A9,'Лист2'!$A$1:$F$505,5,FALSE)</f>
        <v>1519</v>
      </c>
      <c r="H9" s="9">
        <f>VLOOKUP(A9,'Лист2'!$A$1:$F$505,6,FALSE)</f>
        <v>1372</v>
      </c>
      <c r="I9" s="10">
        <f t="shared" si="2"/>
        <v>118615.5</v>
      </c>
      <c r="J9" s="10">
        <f t="shared" si="3"/>
        <v>19</v>
      </c>
    </row>
    <row r="10" ht="14.25" customHeight="1">
      <c r="A10" s="6" t="str">
        <f t="shared" si="1"/>
        <v>2020-04-29|Кемерово</v>
      </c>
      <c r="B10" s="7">
        <v>43950.0</v>
      </c>
      <c r="C10" s="8" t="s">
        <v>11</v>
      </c>
      <c r="D10" s="8">
        <v>29319.0</v>
      </c>
      <c r="E10" s="8">
        <v>2623480.5</v>
      </c>
      <c r="F10" s="9">
        <f>VLOOKUP(A10,'Лист2'!$A$1:$F$505,4,FALSE)</f>
        <v>18</v>
      </c>
      <c r="G10" s="9">
        <f>VLOOKUP(A10,'Лист2'!$A$1:$F$505,5,FALSE)</f>
        <v>1684</v>
      </c>
      <c r="H10" s="9">
        <f>VLOOKUP(A10,'Лист2'!$A$1:$F$505,6,FALSE)</f>
        <v>1528</v>
      </c>
      <c r="I10" s="10">
        <f t="shared" si="2"/>
        <v>145748.9167</v>
      </c>
      <c r="J10" s="10">
        <f t="shared" si="3"/>
        <v>18</v>
      </c>
    </row>
    <row r="11" ht="14.25" customHeight="1">
      <c r="A11" s="6" t="str">
        <f t="shared" si="1"/>
        <v>2020-05-02|Кемерово</v>
      </c>
      <c r="B11" s="11">
        <v>43953.0</v>
      </c>
      <c r="C11" s="12" t="s">
        <v>11</v>
      </c>
      <c r="D11" s="12">
        <v>29031.0</v>
      </c>
      <c r="E11" s="12">
        <v>2711247.0</v>
      </c>
      <c r="F11" s="9">
        <f>VLOOKUP(A11,'Лист2'!$A$1:$F$505,4,FALSE)</f>
        <v>18</v>
      </c>
      <c r="G11" s="9">
        <f>VLOOKUP(A11,'Лист2'!$A$1:$F$505,5,FALSE)</f>
        <v>1708</v>
      </c>
      <c r="H11" s="9">
        <f>VLOOKUP(A11,'Лист2'!$A$1:$F$505,6,FALSE)</f>
        <v>1534</v>
      </c>
      <c r="I11" s="10">
        <f t="shared" si="2"/>
        <v>150624.8333</v>
      </c>
      <c r="J11" s="10">
        <f t="shared" si="3"/>
        <v>18</v>
      </c>
    </row>
    <row r="12" ht="14.25" customHeight="1">
      <c r="A12" s="6" t="str">
        <f t="shared" si="1"/>
        <v>2020-05-26|Кемерово</v>
      </c>
      <c r="B12" s="7">
        <v>43977.0</v>
      </c>
      <c r="C12" s="8" t="s">
        <v>11</v>
      </c>
      <c r="D12" s="8">
        <v>33423.0</v>
      </c>
      <c r="E12" s="8">
        <v>2970330.0</v>
      </c>
      <c r="F12" s="9">
        <f>VLOOKUP(A12,'Лист2'!$A$1:$F$505,4,FALSE)</f>
        <v>20</v>
      </c>
      <c r="G12" s="9">
        <f>VLOOKUP(A12,'Лист2'!$A$1:$F$505,5,FALSE)</f>
        <v>2044</v>
      </c>
      <c r="H12" s="9">
        <f>VLOOKUP(A12,'Лист2'!$A$1:$F$505,6,FALSE)</f>
        <v>1863</v>
      </c>
      <c r="I12" s="10">
        <f t="shared" si="2"/>
        <v>148516.5</v>
      </c>
      <c r="J12" s="10">
        <f t="shared" si="3"/>
        <v>22</v>
      </c>
    </row>
    <row r="13" ht="14.25" customHeight="1">
      <c r="A13" s="6" t="str">
        <f t="shared" si="1"/>
        <v>2020-05-01|Кемерово</v>
      </c>
      <c r="B13" s="11">
        <v>43952.0</v>
      </c>
      <c r="C13" s="12" t="s">
        <v>11</v>
      </c>
      <c r="D13" s="12">
        <v>32487.0</v>
      </c>
      <c r="E13" s="12">
        <v>3031254.0</v>
      </c>
      <c r="F13" s="9">
        <f>VLOOKUP(A13,'Лист2'!$A$1:$F$505,4,FALSE)</f>
        <v>18</v>
      </c>
      <c r="G13" s="9">
        <f>VLOOKUP(A13,'Лист2'!$A$1:$F$505,5,FALSE)</f>
        <v>1826</v>
      </c>
      <c r="H13" s="9">
        <f>VLOOKUP(A13,'Лист2'!$A$1:$F$505,6,FALSE)</f>
        <v>1633</v>
      </c>
      <c r="I13" s="10">
        <f t="shared" si="2"/>
        <v>168403</v>
      </c>
      <c r="J13" s="10">
        <f t="shared" si="3"/>
        <v>18</v>
      </c>
    </row>
    <row r="14" ht="14.25" customHeight="1">
      <c r="A14" s="6" t="str">
        <f t="shared" si="1"/>
        <v>2020-05-12|Кемерово</v>
      </c>
      <c r="B14" s="7">
        <v>43963.0</v>
      </c>
      <c r="C14" s="8" t="s">
        <v>11</v>
      </c>
      <c r="D14" s="8">
        <v>28219.5</v>
      </c>
      <c r="E14" s="8">
        <v>2595778.5</v>
      </c>
      <c r="F14" s="9">
        <f>VLOOKUP(A14,'Лист2'!$A$1:$F$505,4,FALSE)</f>
        <v>21</v>
      </c>
      <c r="G14" s="9">
        <f>VLOOKUP(A14,'Лист2'!$A$1:$F$505,5,FALSE)</f>
        <v>1656</v>
      </c>
      <c r="H14" s="9">
        <f>VLOOKUP(A14,'Лист2'!$A$1:$F$505,6,FALSE)</f>
        <v>1516</v>
      </c>
      <c r="I14" s="10">
        <f t="shared" si="2"/>
        <v>123608.5</v>
      </c>
      <c r="J14" s="10">
        <f t="shared" si="3"/>
        <v>20</v>
      </c>
    </row>
    <row r="15" ht="14.25" customHeight="1">
      <c r="A15" s="6" t="str">
        <f t="shared" si="1"/>
        <v>2020-05-21|Кемерово</v>
      </c>
      <c r="B15" s="11">
        <v>43972.0</v>
      </c>
      <c r="C15" s="12" t="s">
        <v>11</v>
      </c>
      <c r="D15" s="12">
        <v>31272.0</v>
      </c>
      <c r="E15" s="12">
        <v>2744382.0</v>
      </c>
      <c r="F15" s="9">
        <f>VLOOKUP(A15,'Лист2'!$A$1:$F$505,4,FALSE)</f>
        <v>21</v>
      </c>
      <c r="G15" s="9">
        <f>VLOOKUP(A15,'Лист2'!$A$1:$F$505,5,FALSE)</f>
        <v>1787</v>
      </c>
      <c r="H15" s="9">
        <f>VLOOKUP(A15,'Лист2'!$A$1:$F$505,6,FALSE)</f>
        <v>1626</v>
      </c>
      <c r="I15" s="10">
        <f t="shared" si="2"/>
        <v>130684.8571</v>
      </c>
      <c r="J15" s="10">
        <f t="shared" si="3"/>
        <v>21</v>
      </c>
    </row>
    <row r="16" ht="14.25" customHeight="1">
      <c r="A16" s="6" t="str">
        <f t="shared" si="1"/>
        <v>2020-05-20|Кемерово</v>
      </c>
      <c r="B16" s="7">
        <v>43971.0</v>
      </c>
      <c r="C16" s="8" t="s">
        <v>11</v>
      </c>
      <c r="D16" s="8">
        <v>34077.0</v>
      </c>
      <c r="E16" s="8">
        <v>2929330.5</v>
      </c>
      <c r="F16" s="9">
        <f>VLOOKUP(A16,'Лист2'!$A$1:$F$505,4,FALSE)</f>
        <v>21</v>
      </c>
      <c r="G16" s="9">
        <f>VLOOKUP(A16,'Лист2'!$A$1:$F$505,5,FALSE)</f>
        <v>1921</v>
      </c>
      <c r="H16" s="9">
        <f>VLOOKUP(A16,'Лист2'!$A$1:$F$505,6,FALSE)</f>
        <v>1767</v>
      </c>
      <c r="I16" s="10">
        <f t="shared" si="2"/>
        <v>139491.9286</v>
      </c>
      <c r="J16" s="10">
        <f t="shared" si="3"/>
        <v>21</v>
      </c>
    </row>
    <row r="17" ht="14.25" customHeight="1">
      <c r="A17" s="6" t="str">
        <f t="shared" si="1"/>
        <v>2020-05-05|Кемерово</v>
      </c>
      <c r="B17" s="11">
        <v>43956.0</v>
      </c>
      <c r="C17" s="12" t="s">
        <v>11</v>
      </c>
      <c r="D17" s="12">
        <v>31566.0</v>
      </c>
      <c r="E17" s="12">
        <v>2906763.0</v>
      </c>
      <c r="F17" s="9">
        <f>VLOOKUP(A17,'Лист2'!$A$1:$F$505,4,FALSE)</f>
        <v>20</v>
      </c>
      <c r="G17" s="9">
        <f>VLOOKUP(A17,'Лист2'!$A$1:$F$505,5,FALSE)</f>
        <v>1773</v>
      </c>
      <c r="H17" s="9">
        <f>VLOOKUP(A17,'Лист2'!$A$1:$F$505,6,FALSE)</f>
        <v>1604</v>
      </c>
      <c r="I17" s="10">
        <f t="shared" si="2"/>
        <v>145338.15</v>
      </c>
      <c r="J17" s="10">
        <f t="shared" si="3"/>
        <v>19</v>
      </c>
    </row>
    <row r="18" ht="14.25" customHeight="1">
      <c r="A18" s="6" t="str">
        <f t="shared" si="1"/>
        <v>2020-04-28|Кемерово</v>
      </c>
      <c r="B18" s="7">
        <v>43949.0</v>
      </c>
      <c r="C18" s="8" t="s">
        <v>11</v>
      </c>
      <c r="D18" s="8">
        <v>26940.0</v>
      </c>
      <c r="E18" s="8">
        <v>2411587.5</v>
      </c>
      <c r="F18" s="9">
        <f>VLOOKUP(A18,'Лист2'!$A$1:$F$505,4,FALSE)</f>
        <v>18</v>
      </c>
      <c r="G18" s="9">
        <f>VLOOKUP(A18,'Лист2'!$A$1:$F$505,5,FALSE)</f>
        <v>1539</v>
      </c>
      <c r="H18" s="9">
        <f>VLOOKUP(A18,'Лист2'!$A$1:$F$505,6,FALSE)</f>
        <v>1404</v>
      </c>
      <c r="I18" s="10">
        <f t="shared" si="2"/>
        <v>133977.0833</v>
      </c>
      <c r="J18" s="10">
        <f t="shared" si="3"/>
        <v>18</v>
      </c>
    </row>
    <row r="19" ht="14.25" customHeight="1">
      <c r="A19" s="6" t="str">
        <f t="shared" si="1"/>
        <v>2020-05-13|Кемерово</v>
      </c>
      <c r="B19" s="11">
        <v>43964.0</v>
      </c>
      <c r="C19" s="12" t="s">
        <v>11</v>
      </c>
      <c r="D19" s="12">
        <v>29241.0</v>
      </c>
      <c r="E19" s="12">
        <v>2629782.0</v>
      </c>
      <c r="F19" s="9">
        <f>VLOOKUP(A19,'Лист2'!$A$1:$F$505,4,FALSE)</f>
        <v>21</v>
      </c>
      <c r="G19" s="9">
        <f>VLOOKUP(A19,'Лист2'!$A$1:$F$505,5,FALSE)</f>
        <v>1698</v>
      </c>
      <c r="H19" s="9">
        <f>VLOOKUP(A19,'Лист2'!$A$1:$F$505,6,FALSE)</f>
        <v>1554</v>
      </c>
      <c r="I19" s="10">
        <f t="shared" si="2"/>
        <v>125227.7143</v>
      </c>
      <c r="J19" s="10">
        <f t="shared" si="3"/>
        <v>20</v>
      </c>
    </row>
    <row r="20" ht="14.25" customHeight="1">
      <c r="A20" s="6" t="str">
        <f t="shared" si="1"/>
        <v>2020-05-03|Кемерово</v>
      </c>
      <c r="B20" s="7">
        <v>43954.0</v>
      </c>
      <c r="C20" s="8" t="s">
        <v>11</v>
      </c>
      <c r="D20" s="8">
        <v>26082.0</v>
      </c>
      <c r="E20" s="8">
        <v>2434914.0</v>
      </c>
      <c r="F20" s="9">
        <f>VLOOKUP(A20,'Лист2'!$A$1:$F$505,4,FALSE)</f>
        <v>20</v>
      </c>
      <c r="G20" s="9">
        <f>VLOOKUP(A20,'Лист2'!$A$1:$F$505,5,FALSE)</f>
        <v>1520</v>
      </c>
      <c r="H20" s="9">
        <f>VLOOKUP(A20,'Лист2'!$A$1:$F$505,6,FALSE)</f>
        <v>1373</v>
      </c>
      <c r="I20" s="10">
        <f t="shared" si="2"/>
        <v>121745.7</v>
      </c>
      <c r="J20" s="10">
        <f t="shared" si="3"/>
        <v>18</v>
      </c>
    </row>
    <row r="21" ht="14.25" customHeight="1">
      <c r="A21" s="6" t="str">
        <f t="shared" si="1"/>
        <v>2020-05-06|Кемерово</v>
      </c>
      <c r="B21" s="11">
        <v>43957.0</v>
      </c>
      <c r="C21" s="12" t="s">
        <v>11</v>
      </c>
      <c r="D21" s="12">
        <v>32511.0</v>
      </c>
      <c r="E21" s="12">
        <v>2938623.0</v>
      </c>
      <c r="F21" s="9">
        <f>VLOOKUP(A21,'Лист2'!$A$1:$F$505,4,FALSE)</f>
        <v>20</v>
      </c>
      <c r="G21" s="9">
        <f>VLOOKUP(A21,'Лист2'!$A$1:$F$505,5,FALSE)</f>
        <v>1784</v>
      </c>
      <c r="H21" s="9">
        <f>VLOOKUP(A21,'Лист2'!$A$1:$F$505,6,FALSE)</f>
        <v>1632</v>
      </c>
      <c r="I21" s="10">
        <f t="shared" si="2"/>
        <v>146931.15</v>
      </c>
      <c r="J21" s="10">
        <f t="shared" si="3"/>
        <v>19</v>
      </c>
    </row>
    <row r="22" ht="14.25" customHeight="1">
      <c r="A22" s="6" t="str">
        <f t="shared" si="1"/>
        <v>2020-05-23|Кемерово</v>
      </c>
      <c r="B22" s="7">
        <v>43974.0</v>
      </c>
      <c r="C22" s="8" t="s">
        <v>11</v>
      </c>
      <c r="D22" s="8">
        <v>42703.5</v>
      </c>
      <c r="E22" s="8">
        <v>3628726.5</v>
      </c>
      <c r="F22" s="9">
        <f>VLOOKUP(A22,'Лист2'!$A$1:$F$505,4,FALSE)</f>
        <v>21</v>
      </c>
      <c r="G22" s="9">
        <f>VLOOKUP(A22,'Лист2'!$A$1:$F$505,5,FALSE)</f>
        <v>2340</v>
      </c>
      <c r="H22" s="9">
        <f>VLOOKUP(A22,'Лист2'!$A$1:$F$505,6,FALSE)</f>
        <v>2146</v>
      </c>
      <c r="I22" s="10">
        <f t="shared" si="2"/>
        <v>172796.5</v>
      </c>
      <c r="J22" s="10">
        <f t="shared" si="3"/>
        <v>21</v>
      </c>
    </row>
    <row r="23" ht="14.25" customHeight="1">
      <c r="A23" s="6" t="str">
        <f t="shared" si="1"/>
        <v>2020-05-25|Кемерово</v>
      </c>
      <c r="B23" s="11">
        <v>43976.0</v>
      </c>
      <c r="C23" s="12" t="s">
        <v>11</v>
      </c>
      <c r="D23" s="12">
        <v>35592.0</v>
      </c>
      <c r="E23" s="12">
        <v>3176580.0</v>
      </c>
      <c r="F23" s="9">
        <f>VLOOKUP(A23,'Лист2'!$A$1:$F$505,4,FALSE)</f>
        <v>20</v>
      </c>
      <c r="G23" s="9">
        <f>VLOOKUP(A23,'Лист2'!$A$1:$F$505,5,FALSE)</f>
        <v>2087</v>
      </c>
      <c r="H23" s="9">
        <f>VLOOKUP(A23,'Лист2'!$A$1:$F$505,6,FALSE)</f>
        <v>1914</v>
      </c>
      <c r="I23" s="10">
        <f t="shared" si="2"/>
        <v>158829</v>
      </c>
      <c r="J23" s="10">
        <f t="shared" si="3"/>
        <v>22</v>
      </c>
    </row>
    <row r="24" ht="14.25" customHeight="1">
      <c r="A24" s="6" t="str">
        <f t="shared" si="1"/>
        <v>2020-04-30|Кемерово</v>
      </c>
      <c r="B24" s="7">
        <v>43951.0</v>
      </c>
      <c r="C24" s="8" t="s">
        <v>11</v>
      </c>
      <c r="D24" s="8">
        <v>30445.5</v>
      </c>
      <c r="E24" s="8">
        <v>2817196.5</v>
      </c>
      <c r="F24" s="9">
        <f>VLOOKUP(A24,'Лист2'!$A$1:$F$505,4,FALSE)</f>
        <v>19</v>
      </c>
      <c r="G24" s="9">
        <f>VLOOKUP(A24,'Лист2'!$A$1:$F$505,5,FALSE)</f>
        <v>1712</v>
      </c>
      <c r="H24" s="9">
        <f>VLOOKUP(A24,'Лист2'!$A$1:$F$505,6,FALSE)</f>
        <v>1552</v>
      </c>
      <c r="I24" s="10">
        <f t="shared" si="2"/>
        <v>148273.5</v>
      </c>
      <c r="J24" s="10">
        <f t="shared" si="3"/>
        <v>18</v>
      </c>
    </row>
    <row r="25" ht="14.25" customHeight="1">
      <c r="A25" s="6" t="str">
        <f t="shared" si="1"/>
        <v>2020-05-10|Кемерово</v>
      </c>
      <c r="B25" s="11">
        <v>43961.0</v>
      </c>
      <c r="C25" s="12" t="s">
        <v>11</v>
      </c>
      <c r="D25" s="12">
        <v>36619.5</v>
      </c>
      <c r="E25" s="12">
        <v>3312967.5</v>
      </c>
      <c r="F25" s="9">
        <f>VLOOKUP(A25,'Лист2'!$A$1:$F$505,4,FALSE)</f>
        <v>21</v>
      </c>
      <c r="G25" s="9">
        <f>VLOOKUP(A25,'Лист2'!$A$1:$F$505,5,FALSE)</f>
        <v>2016</v>
      </c>
      <c r="H25" s="9">
        <f>VLOOKUP(A25,'Лист2'!$A$1:$F$505,6,FALSE)</f>
        <v>1846</v>
      </c>
      <c r="I25" s="10">
        <f t="shared" si="2"/>
        <v>157760.3571</v>
      </c>
      <c r="J25" s="10">
        <f t="shared" si="3"/>
        <v>19</v>
      </c>
    </row>
    <row r="26" ht="14.25" customHeight="1">
      <c r="A26" s="6" t="str">
        <f t="shared" si="1"/>
        <v>2020-05-08|Кемерово</v>
      </c>
      <c r="B26" s="7">
        <v>43959.0</v>
      </c>
      <c r="C26" s="8" t="s">
        <v>11</v>
      </c>
      <c r="D26" s="8">
        <v>29409.0</v>
      </c>
      <c r="E26" s="8">
        <v>2645160.0</v>
      </c>
      <c r="F26" s="9">
        <f>VLOOKUP(A26,'Лист2'!$A$1:$F$505,4,FALSE)</f>
        <v>21</v>
      </c>
      <c r="G26" s="9">
        <f>VLOOKUP(A26,'Лист2'!$A$1:$F$505,5,FALSE)</f>
        <v>1646</v>
      </c>
      <c r="H26" s="9">
        <f>VLOOKUP(A26,'Лист2'!$A$1:$F$505,6,FALSE)</f>
        <v>1492</v>
      </c>
      <c r="I26" s="10">
        <f t="shared" si="2"/>
        <v>125960</v>
      </c>
      <c r="J26" s="10">
        <f t="shared" si="3"/>
        <v>19</v>
      </c>
    </row>
    <row r="27" ht="14.25" customHeight="1">
      <c r="A27" s="6" t="str">
        <f t="shared" si="1"/>
        <v>2020-05-07|Кемерово</v>
      </c>
      <c r="B27" s="11">
        <v>43958.0</v>
      </c>
      <c r="C27" s="12" t="s">
        <v>11</v>
      </c>
      <c r="D27" s="12">
        <v>27018.0</v>
      </c>
      <c r="E27" s="12">
        <v>2472213.0</v>
      </c>
      <c r="F27" s="9">
        <f>VLOOKUP(A27,'Лист2'!$A$1:$F$505,4,FALSE)</f>
        <v>21</v>
      </c>
      <c r="G27" s="9">
        <f>VLOOKUP(A27,'Лист2'!$A$1:$F$505,5,FALSE)</f>
        <v>1542</v>
      </c>
      <c r="H27" s="9">
        <f>VLOOKUP(A27,'Лист2'!$A$1:$F$505,6,FALSE)</f>
        <v>1405</v>
      </c>
      <c r="I27" s="10">
        <f t="shared" si="2"/>
        <v>117724.4286</v>
      </c>
      <c r="J27" s="10">
        <f t="shared" si="3"/>
        <v>19</v>
      </c>
    </row>
    <row r="28" ht="14.25" customHeight="1">
      <c r="A28" s="6" t="str">
        <f t="shared" si="1"/>
        <v>2020-05-24|Кемерово</v>
      </c>
      <c r="B28" s="7">
        <v>43975.0</v>
      </c>
      <c r="C28" s="8" t="s">
        <v>11</v>
      </c>
      <c r="D28" s="8">
        <v>34303.5</v>
      </c>
      <c r="E28" s="8">
        <v>2924746.5</v>
      </c>
      <c r="F28" s="9">
        <f>VLOOKUP(A28,'Лист2'!$A$1:$F$505,4,FALSE)</f>
        <v>20</v>
      </c>
      <c r="G28" s="9">
        <f>VLOOKUP(A28,'Лист2'!$A$1:$F$505,5,FALSE)</f>
        <v>1999</v>
      </c>
      <c r="H28" s="9">
        <f>VLOOKUP(A28,'Лист2'!$A$1:$F$505,6,FALSE)</f>
        <v>1829</v>
      </c>
      <c r="I28" s="10">
        <f t="shared" si="2"/>
        <v>146237.325</v>
      </c>
      <c r="J28" s="10">
        <f t="shared" si="3"/>
        <v>21</v>
      </c>
    </row>
    <row r="29" ht="14.25" customHeight="1">
      <c r="A29" s="6" t="str">
        <f t="shared" si="1"/>
        <v>2020-05-31|Кемерово</v>
      </c>
      <c r="B29" s="11">
        <v>43982.0</v>
      </c>
      <c r="C29" s="12" t="s">
        <v>11</v>
      </c>
      <c r="D29" s="12">
        <v>36999.0</v>
      </c>
      <c r="E29" s="12">
        <v>3473895.0</v>
      </c>
      <c r="F29" s="9">
        <f>VLOOKUP(A29,'Лист2'!$A$1:$F$505,4,FALSE)</f>
        <v>21</v>
      </c>
      <c r="G29" s="9">
        <f>VLOOKUP(A29,'Лист2'!$A$1:$F$505,5,FALSE)</f>
        <v>2271</v>
      </c>
      <c r="H29" s="9">
        <f>VLOOKUP(A29,'Лист2'!$A$1:$F$505,6,FALSE)</f>
        <v>2085</v>
      </c>
      <c r="I29" s="10">
        <f t="shared" si="2"/>
        <v>165423.5714</v>
      </c>
      <c r="J29" s="10">
        <f t="shared" si="3"/>
        <v>22</v>
      </c>
    </row>
    <row r="30" ht="14.25" customHeight="1">
      <c r="A30" s="6" t="str">
        <f t="shared" si="1"/>
        <v>2020-05-30|Кемерово</v>
      </c>
      <c r="B30" s="7">
        <v>43981.0</v>
      </c>
      <c r="C30" s="8" t="s">
        <v>11</v>
      </c>
      <c r="D30" s="8">
        <v>44001.0</v>
      </c>
      <c r="E30" s="8">
        <v>3921784.5</v>
      </c>
      <c r="F30" s="9">
        <f>VLOOKUP(A30,'Лист2'!$A$1:$F$505,4,FALSE)</f>
        <v>20</v>
      </c>
      <c r="G30" s="9">
        <f>VLOOKUP(A30,'Лист2'!$A$1:$F$505,5,FALSE)</f>
        <v>2597</v>
      </c>
      <c r="H30" s="9">
        <f>VLOOKUP(A30,'Лист2'!$A$1:$F$505,6,FALSE)</f>
        <v>2376</v>
      </c>
      <c r="I30" s="10">
        <f t="shared" si="2"/>
        <v>196089.225</v>
      </c>
      <c r="J30" s="10">
        <f t="shared" si="3"/>
        <v>22</v>
      </c>
    </row>
    <row r="31" ht="14.25" customHeight="1">
      <c r="A31" s="6" t="str">
        <f t="shared" si="1"/>
        <v>2020-05-28|Кемерово</v>
      </c>
      <c r="B31" s="11">
        <v>43979.0</v>
      </c>
      <c r="C31" s="12" t="s">
        <v>11</v>
      </c>
      <c r="D31" s="12">
        <v>30982.5</v>
      </c>
      <c r="E31" s="12">
        <v>2827773.0</v>
      </c>
      <c r="F31" s="9">
        <f>VLOOKUP(A31,'Лист2'!$A$1:$F$505,4,FALSE)</f>
        <v>20</v>
      </c>
      <c r="G31" s="9">
        <f>VLOOKUP(A31,'Лист2'!$A$1:$F$505,5,FALSE)</f>
        <v>1886</v>
      </c>
      <c r="H31" s="9">
        <f>VLOOKUP(A31,'Лист2'!$A$1:$F$505,6,FALSE)</f>
        <v>1736</v>
      </c>
      <c r="I31" s="10">
        <f t="shared" si="2"/>
        <v>141388.65</v>
      </c>
      <c r="J31" s="10">
        <f t="shared" si="3"/>
        <v>22</v>
      </c>
    </row>
    <row r="32" ht="14.25" customHeight="1">
      <c r="A32" s="6" t="str">
        <f t="shared" si="1"/>
        <v>2020-05-16|Екатеринбург</v>
      </c>
      <c r="B32" s="7">
        <v>43967.0</v>
      </c>
      <c r="C32" s="8" t="s">
        <v>12</v>
      </c>
      <c r="D32" s="8">
        <v>88063.5</v>
      </c>
      <c r="E32" s="8">
        <v>7583758.5</v>
      </c>
      <c r="F32" s="9">
        <f>VLOOKUP(A32,'Лист2'!$A$1:$F$505,4,FALSE)</f>
        <v>31</v>
      </c>
      <c r="G32" s="9">
        <f>VLOOKUP(A32,'Лист2'!$A$1:$F$505,5,FALSE)</f>
        <v>5593</v>
      </c>
      <c r="H32" s="9">
        <f>VLOOKUP(A32,'Лист2'!$A$1:$F$505,6,FALSE)</f>
        <v>5177</v>
      </c>
      <c r="I32" s="10">
        <f t="shared" si="2"/>
        <v>244637.371</v>
      </c>
      <c r="J32" s="10">
        <f t="shared" si="3"/>
        <v>20</v>
      </c>
    </row>
    <row r="33" ht="14.25" customHeight="1">
      <c r="A33" s="6" t="str">
        <f t="shared" si="1"/>
        <v>2020-05-19|Екатеринбург</v>
      </c>
      <c r="B33" s="11">
        <v>43970.0</v>
      </c>
      <c r="C33" s="12" t="s">
        <v>12</v>
      </c>
      <c r="D33" s="12">
        <v>84024.0</v>
      </c>
      <c r="E33" s="12">
        <v>6815511.0</v>
      </c>
      <c r="F33" s="9">
        <f>VLOOKUP(A33,'Лист2'!$A$1:$F$505,4,FALSE)</f>
        <v>31</v>
      </c>
      <c r="G33" s="9">
        <f>VLOOKUP(A33,'Лист2'!$A$1:$F$505,5,FALSE)</f>
        <v>5389</v>
      </c>
      <c r="H33" s="9">
        <f>VLOOKUP(A33,'Лист2'!$A$1:$F$505,6,FALSE)</f>
        <v>5024</v>
      </c>
      <c r="I33" s="10">
        <f t="shared" si="2"/>
        <v>219855.1935</v>
      </c>
      <c r="J33" s="10">
        <f t="shared" si="3"/>
        <v>21</v>
      </c>
    </row>
    <row r="34" ht="14.25" customHeight="1">
      <c r="A34" s="6" t="str">
        <f t="shared" si="1"/>
        <v>2020-05-17|Екатеринбург</v>
      </c>
      <c r="B34" s="7">
        <v>43968.0</v>
      </c>
      <c r="C34" s="8" t="s">
        <v>12</v>
      </c>
      <c r="D34" s="8">
        <v>78057.0</v>
      </c>
      <c r="E34" s="8">
        <v>6774946.5</v>
      </c>
      <c r="F34" s="9">
        <f>VLOOKUP(A34,'Лист2'!$A$1:$F$505,4,FALSE)</f>
        <v>31</v>
      </c>
      <c r="G34" s="9">
        <f>VLOOKUP(A34,'Лист2'!$A$1:$F$505,5,FALSE)</f>
        <v>5206</v>
      </c>
      <c r="H34" s="9">
        <f>VLOOKUP(A34,'Лист2'!$A$1:$F$505,6,FALSE)</f>
        <v>4843</v>
      </c>
      <c r="I34" s="10">
        <f t="shared" si="2"/>
        <v>218546.6613</v>
      </c>
      <c r="J34" s="10">
        <f t="shared" si="3"/>
        <v>20</v>
      </c>
    </row>
    <row r="35" ht="14.25" customHeight="1">
      <c r="A35" s="6" t="str">
        <f t="shared" si="1"/>
        <v>2020-05-09|Екатеринбург</v>
      </c>
      <c r="B35" s="11">
        <v>43960.0</v>
      </c>
      <c r="C35" s="12" t="s">
        <v>12</v>
      </c>
      <c r="D35" s="12">
        <v>69720.0</v>
      </c>
      <c r="E35" s="12">
        <v>6264933.0</v>
      </c>
      <c r="F35" s="9">
        <f>VLOOKUP(A35,'Лист2'!$A$1:$F$505,4,FALSE)</f>
        <v>31</v>
      </c>
      <c r="G35" s="9">
        <f>VLOOKUP(A35,'Лист2'!$A$1:$F$505,5,FALSE)</f>
        <v>4556</v>
      </c>
      <c r="H35" s="9">
        <f>VLOOKUP(A35,'Лист2'!$A$1:$F$505,6,FALSE)</f>
        <v>4220</v>
      </c>
      <c r="I35" s="10">
        <f t="shared" si="2"/>
        <v>202094.6129</v>
      </c>
      <c r="J35" s="10">
        <f t="shared" si="3"/>
        <v>19</v>
      </c>
    </row>
    <row r="36" ht="14.25" customHeight="1">
      <c r="A36" s="6" t="str">
        <f t="shared" si="1"/>
        <v>2020-05-04|Екатеринбург</v>
      </c>
      <c r="B36" s="7">
        <v>43955.0</v>
      </c>
      <c r="C36" s="8" t="s">
        <v>12</v>
      </c>
      <c r="D36" s="8">
        <v>72928.5</v>
      </c>
      <c r="E36" s="8">
        <v>6642249.0</v>
      </c>
      <c r="F36" s="9">
        <f>VLOOKUP(A36,'Лист2'!$A$1:$F$505,4,FALSE)</f>
        <v>31</v>
      </c>
      <c r="G36" s="9">
        <f>VLOOKUP(A36,'Лист2'!$A$1:$F$505,5,FALSE)</f>
        <v>4968</v>
      </c>
      <c r="H36" s="9">
        <f>VLOOKUP(A36,'Лист2'!$A$1:$F$505,6,FALSE)</f>
        <v>4596</v>
      </c>
      <c r="I36" s="10">
        <f t="shared" si="2"/>
        <v>214266.0968</v>
      </c>
      <c r="J36" s="10">
        <f t="shared" si="3"/>
        <v>19</v>
      </c>
    </row>
    <row r="37" ht="14.25" customHeight="1">
      <c r="A37" s="6" t="str">
        <f t="shared" si="1"/>
        <v>2020-04-29|Екатеринбург</v>
      </c>
      <c r="B37" s="11">
        <v>43950.0</v>
      </c>
      <c r="C37" s="12" t="s">
        <v>12</v>
      </c>
      <c r="D37" s="12">
        <v>79527.0</v>
      </c>
      <c r="E37" s="12">
        <v>7180498.5</v>
      </c>
      <c r="F37" s="9">
        <f>VLOOKUP(A37,'Лист2'!$A$1:$F$505,4,FALSE)</f>
        <v>31</v>
      </c>
      <c r="G37" s="9">
        <f>VLOOKUP(A37,'Лист2'!$A$1:$F$505,5,FALSE)</f>
        <v>5378</v>
      </c>
      <c r="H37" s="9">
        <f>VLOOKUP(A37,'Лист2'!$A$1:$F$505,6,FALSE)</f>
        <v>4985</v>
      </c>
      <c r="I37" s="10">
        <f t="shared" si="2"/>
        <v>231628.9839</v>
      </c>
      <c r="J37" s="10">
        <f t="shared" si="3"/>
        <v>18</v>
      </c>
    </row>
    <row r="38" ht="14.25" customHeight="1">
      <c r="A38" s="6" t="str">
        <f t="shared" si="1"/>
        <v>2020-05-02|Екатеринбург</v>
      </c>
      <c r="B38" s="7">
        <v>43953.0</v>
      </c>
      <c r="C38" s="8" t="s">
        <v>12</v>
      </c>
      <c r="D38" s="8">
        <v>60463.5</v>
      </c>
      <c r="E38" s="8">
        <v>5554192.5</v>
      </c>
      <c r="F38" s="9">
        <f>VLOOKUP(A38,'Лист2'!$A$1:$F$505,4,FALSE)</f>
        <v>31</v>
      </c>
      <c r="G38" s="9">
        <f>VLOOKUP(A38,'Лист2'!$A$1:$F$505,5,FALSE)</f>
        <v>4157</v>
      </c>
      <c r="H38" s="9">
        <f>VLOOKUP(A38,'Лист2'!$A$1:$F$505,6,FALSE)</f>
        <v>3823</v>
      </c>
      <c r="I38" s="10">
        <f t="shared" si="2"/>
        <v>179167.5</v>
      </c>
      <c r="J38" s="10">
        <f t="shared" si="3"/>
        <v>18</v>
      </c>
    </row>
    <row r="39" ht="14.25" customHeight="1">
      <c r="A39" s="6" t="str">
        <f t="shared" si="1"/>
        <v>2020-05-26|Екатеринбург</v>
      </c>
      <c r="B39" s="11">
        <v>43977.0</v>
      </c>
      <c r="C39" s="12" t="s">
        <v>12</v>
      </c>
      <c r="D39" s="12">
        <v>79975.5</v>
      </c>
      <c r="E39" s="12">
        <v>6676459.5</v>
      </c>
      <c r="F39" s="9">
        <f>VLOOKUP(A39,'Лист2'!$A$1:$F$505,4,FALSE)</f>
        <v>31</v>
      </c>
      <c r="G39" s="9">
        <f>VLOOKUP(A39,'Лист2'!$A$1:$F$505,5,FALSE)</f>
        <v>5493</v>
      </c>
      <c r="H39" s="9">
        <f>VLOOKUP(A39,'Лист2'!$A$1:$F$505,6,FALSE)</f>
        <v>5119</v>
      </c>
      <c r="I39" s="10">
        <f t="shared" si="2"/>
        <v>215369.6613</v>
      </c>
      <c r="J39" s="10">
        <f t="shared" si="3"/>
        <v>22</v>
      </c>
    </row>
    <row r="40" ht="14.25" customHeight="1">
      <c r="A40" s="6" t="str">
        <f t="shared" si="1"/>
        <v>2020-05-01|Екатеринбург</v>
      </c>
      <c r="B40" s="7">
        <v>43952.0</v>
      </c>
      <c r="C40" s="8" t="s">
        <v>12</v>
      </c>
      <c r="D40" s="8">
        <v>97534.5</v>
      </c>
      <c r="E40" s="8">
        <v>8893024.5</v>
      </c>
      <c r="F40" s="9">
        <f>VLOOKUP(A40,'Лист2'!$A$1:$F$505,4,FALSE)</f>
        <v>31</v>
      </c>
      <c r="G40" s="9">
        <f>VLOOKUP(A40,'Лист2'!$A$1:$F$505,5,FALSE)</f>
        <v>6118</v>
      </c>
      <c r="H40" s="9">
        <f>VLOOKUP(A40,'Лист2'!$A$1:$F$505,6,FALSE)</f>
        <v>5564</v>
      </c>
      <c r="I40" s="10">
        <f t="shared" si="2"/>
        <v>286871.7581</v>
      </c>
      <c r="J40" s="10">
        <f t="shared" si="3"/>
        <v>18</v>
      </c>
    </row>
    <row r="41" ht="14.25" customHeight="1">
      <c r="A41" s="6" t="str">
        <f t="shared" si="1"/>
        <v>2020-05-12|Екатеринбург</v>
      </c>
      <c r="B41" s="11">
        <v>43963.0</v>
      </c>
      <c r="C41" s="12" t="s">
        <v>12</v>
      </c>
      <c r="D41" s="12">
        <v>71520.0</v>
      </c>
      <c r="E41" s="12">
        <v>6398361.0</v>
      </c>
      <c r="F41" s="9">
        <f>VLOOKUP(A41,'Лист2'!$A$1:$F$505,4,FALSE)</f>
        <v>31</v>
      </c>
      <c r="G41" s="9">
        <f>VLOOKUP(A41,'Лист2'!$A$1:$F$505,5,FALSE)</f>
        <v>4800</v>
      </c>
      <c r="H41" s="9">
        <f>VLOOKUP(A41,'Лист2'!$A$1:$F$505,6,FALSE)</f>
        <v>4470</v>
      </c>
      <c r="I41" s="10">
        <f t="shared" si="2"/>
        <v>206398.7419</v>
      </c>
      <c r="J41" s="10">
        <f t="shared" si="3"/>
        <v>20</v>
      </c>
    </row>
    <row r="42" ht="14.25" customHeight="1">
      <c r="A42" s="6" t="str">
        <f t="shared" si="1"/>
        <v>2020-05-21|Екатеринбург</v>
      </c>
      <c r="B42" s="7">
        <v>43972.0</v>
      </c>
      <c r="C42" s="8" t="s">
        <v>12</v>
      </c>
      <c r="D42" s="8">
        <v>79485.0</v>
      </c>
      <c r="E42" s="8">
        <v>6633847.5</v>
      </c>
      <c r="F42" s="9">
        <f>VLOOKUP(A42,'Лист2'!$A$1:$F$505,4,FALSE)</f>
        <v>31</v>
      </c>
      <c r="G42" s="9">
        <f>VLOOKUP(A42,'Лист2'!$A$1:$F$505,5,FALSE)</f>
        <v>5207</v>
      </c>
      <c r="H42" s="9">
        <f>VLOOKUP(A42,'Лист2'!$A$1:$F$505,6,FALSE)</f>
        <v>4868</v>
      </c>
      <c r="I42" s="10">
        <f t="shared" si="2"/>
        <v>213995.0806</v>
      </c>
      <c r="J42" s="10">
        <f t="shared" si="3"/>
        <v>21</v>
      </c>
    </row>
    <row r="43" ht="14.25" customHeight="1">
      <c r="A43" s="6" t="str">
        <f t="shared" si="1"/>
        <v>2020-05-20|Екатеринбург</v>
      </c>
      <c r="B43" s="11">
        <v>43971.0</v>
      </c>
      <c r="C43" s="12" t="s">
        <v>12</v>
      </c>
      <c r="D43" s="12">
        <v>93313.5</v>
      </c>
      <c r="E43" s="12">
        <v>7247575.5</v>
      </c>
      <c r="F43" s="9">
        <f>VLOOKUP(A43,'Лист2'!$A$1:$F$505,4,FALSE)</f>
        <v>31</v>
      </c>
      <c r="G43" s="9">
        <f>VLOOKUP(A43,'Лист2'!$A$1:$F$505,5,FALSE)</f>
        <v>5698</v>
      </c>
      <c r="H43" s="9">
        <f>VLOOKUP(A43,'Лист2'!$A$1:$F$505,6,FALSE)</f>
        <v>5258</v>
      </c>
      <c r="I43" s="10">
        <f t="shared" si="2"/>
        <v>233792.7581</v>
      </c>
      <c r="J43" s="10">
        <f t="shared" si="3"/>
        <v>21</v>
      </c>
    </row>
    <row r="44" ht="14.25" customHeight="1">
      <c r="A44" s="6" t="str">
        <f t="shared" si="1"/>
        <v>2020-05-05|Екатеринбург</v>
      </c>
      <c r="B44" s="7">
        <v>43956.0</v>
      </c>
      <c r="C44" s="8" t="s">
        <v>12</v>
      </c>
      <c r="D44" s="8">
        <v>76585.5</v>
      </c>
      <c r="E44" s="8">
        <v>6921316.5</v>
      </c>
      <c r="F44" s="9">
        <f>VLOOKUP(A44,'Лист2'!$A$1:$F$505,4,FALSE)</f>
        <v>31</v>
      </c>
      <c r="G44" s="9">
        <f>VLOOKUP(A44,'Лист2'!$A$1:$F$505,5,FALSE)</f>
        <v>5188</v>
      </c>
      <c r="H44" s="9">
        <f>VLOOKUP(A44,'Лист2'!$A$1:$F$505,6,FALSE)</f>
        <v>4800</v>
      </c>
      <c r="I44" s="10">
        <f t="shared" si="2"/>
        <v>223268.2742</v>
      </c>
      <c r="J44" s="10">
        <f t="shared" si="3"/>
        <v>19</v>
      </c>
    </row>
    <row r="45" ht="14.25" customHeight="1">
      <c r="A45" s="6" t="str">
        <f t="shared" si="1"/>
        <v>2020-04-28|Екатеринбург</v>
      </c>
      <c r="B45" s="11">
        <v>43949.0</v>
      </c>
      <c r="C45" s="12" t="s">
        <v>12</v>
      </c>
      <c r="D45" s="12">
        <v>81826.5</v>
      </c>
      <c r="E45" s="12">
        <v>7163644.5</v>
      </c>
      <c r="F45" s="9">
        <f>VLOOKUP(A45,'Лист2'!$A$1:$F$505,4,FALSE)</f>
        <v>31</v>
      </c>
      <c r="G45" s="9">
        <f>VLOOKUP(A45,'Лист2'!$A$1:$F$505,5,FALSE)</f>
        <v>5465</v>
      </c>
      <c r="H45" s="9">
        <f>VLOOKUP(A45,'Лист2'!$A$1:$F$505,6,FALSE)</f>
        <v>5096</v>
      </c>
      <c r="I45" s="10">
        <f t="shared" si="2"/>
        <v>231085.3065</v>
      </c>
      <c r="J45" s="10">
        <f t="shared" si="3"/>
        <v>18</v>
      </c>
    </row>
    <row r="46" ht="14.25" customHeight="1">
      <c r="A46" s="6" t="str">
        <f t="shared" si="1"/>
        <v>2020-05-13|Екатеринбург</v>
      </c>
      <c r="B46" s="7">
        <v>43964.0</v>
      </c>
      <c r="C46" s="8" t="s">
        <v>12</v>
      </c>
      <c r="D46" s="8">
        <v>78846.0</v>
      </c>
      <c r="E46" s="8">
        <v>6993952.5</v>
      </c>
      <c r="F46" s="9">
        <f>VLOOKUP(A46,'Лист2'!$A$1:$F$505,4,FALSE)</f>
        <v>31</v>
      </c>
      <c r="G46" s="9">
        <f>VLOOKUP(A46,'Лист2'!$A$1:$F$505,5,FALSE)</f>
        <v>5251</v>
      </c>
      <c r="H46" s="9">
        <f>VLOOKUP(A46,'Лист2'!$A$1:$F$505,6,FALSE)</f>
        <v>4853</v>
      </c>
      <c r="I46" s="10">
        <f t="shared" si="2"/>
        <v>225611.371</v>
      </c>
      <c r="J46" s="10">
        <f t="shared" si="3"/>
        <v>20</v>
      </c>
    </row>
    <row r="47" ht="14.25" customHeight="1">
      <c r="A47" s="6" t="str">
        <f t="shared" si="1"/>
        <v>2020-05-03|Екатеринбург</v>
      </c>
      <c r="B47" s="11">
        <v>43954.0</v>
      </c>
      <c r="C47" s="12" t="s">
        <v>12</v>
      </c>
      <c r="D47" s="12">
        <v>77263.5</v>
      </c>
      <c r="E47" s="12">
        <v>7013670.0</v>
      </c>
      <c r="F47" s="9">
        <f>VLOOKUP(A47,'Лист2'!$A$1:$F$505,4,FALSE)</f>
        <v>31</v>
      </c>
      <c r="G47" s="9">
        <f>VLOOKUP(A47,'Лист2'!$A$1:$F$505,5,FALSE)</f>
        <v>5155</v>
      </c>
      <c r="H47" s="9">
        <f>VLOOKUP(A47,'Лист2'!$A$1:$F$505,6,FALSE)</f>
        <v>4762</v>
      </c>
      <c r="I47" s="10">
        <f t="shared" si="2"/>
        <v>226247.4194</v>
      </c>
      <c r="J47" s="10">
        <f t="shared" si="3"/>
        <v>18</v>
      </c>
    </row>
    <row r="48" ht="14.25" customHeight="1">
      <c r="A48" s="6" t="str">
        <f t="shared" si="1"/>
        <v>2020-05-06|Екатеринбург</v>
      </c>
      <c r="B48" s="7">
        <v>43957.0</v>
      </c>
      <c r="C48" s="8" t="s">
        <v>12</v>
      </c>
      <c r="D48" s="8">
        <v>68994.0</v>
      </c>
      <c r="E48" s="8">
        <v>6168657.0</v>
      </c>
      <c r="F48" s="9">
        <f>VLOOKUP(A48,'Лист2'!$A$1:$F$505,4,FALSE)</f>
        <v>31</v>
      </c>
      <c r="G48" s="9">
        <f>VLOOKUP(A48,'Лист2'!$A$1:$F$505,5,FALSE)</f>
        <v>4709</v>
      </c>
      <c r="H48" s="9">
        <f>VLOOKUP(A48,'Лист2'!$A$1:$F$505,6,FALSE)</f>
        <v>4348</v>
      </c>
      <c r="I48" s="10">
        <f t="shared" si="2"/>
        <v>198988.9355</v>
      </c>
      <c r="J48" s="10">
        <f t="shared" si="3"/>
        <v>19</v>
      </c>
    </row>
    <row r="49" ht="14.25" customHeight="1">
      <c r="A49" s="6" t="str">
        <f t="shared" si="1"/>
        <v>2020-05-23|Екатеринбург</v>
      </c>
      <c r="B49" s="11">
        <v>43974.0</v>
      </c>
      <c r="C49" s="12" t="s">
        <v>12</v>
      </c>
      <c r="D49" s="12">
        <v>102889.5</v>
      </c>
      <c r="E49" s="12">
        <v>8089143.0</v>
      </c>
      <c r="F49" s="9">
        <f>VLOOKUP(A49,'Лист2'!$A$1:$F$505,4,FALSE)</f>
        <v>31</v>
      </c>
      <c r="G49" s="9">
        <f>VLOOKUP(A49,'Лист2'!$A$1:$F$505,5,FALSE)</f>
        <v>6276</v>
      </c>
      <c r="H49" s="9">
        <f>VLOOKUP(A49,'Лист2'!$A$1:$F$505,6,FALSE)</f>
        <v>5801</v>
      </c>
      <c r="I49" s="10">
        <f t="shared" si="2"/>
        <v>260940.0968</v>
      </c>
      <c r="J49" s="10">
        <f t="shared" si="3"/>
        <v>21</v>
      </c>
    </row>
    <row r="50" ht="14.25" customHeight="1">
      <c r="A50" s="6" t="str">
        <f t="shared" si="1"/>
        <v>2020-05-25|Екатеринбург</v>
      </c>
      <c r="B50" s="7">
        <v>43976.0</v>
      </c>
      <c r="C50" s="8" t="s">
        <v>12</v>
      </c>
      <c r="D50" s="8">
        <v>76999.5</v>
      </c>
      <c r="E50" s="8">
        <v>6645603.0</v>
      </c>
      <c r="F50" s="9">
        <f>VLOOKUP(A50,'Лист2'!$A$1:$F$505,4,FALSE)</f>
        <v>31</v>
      </c>
      <c r="G50" s="9">
        <f>VLOOKUP(A50,'Лист2'!$A$1:$F$505,5,FALSE)</f>
        <v>5210</v>
      </c>
      <c r="H50" s="9">
        <f>VLOOKUP(A50,'Лист2'!$A$1:$F$505,6,FALSE)</f>
        <v>4841</v>
      </c>
      <c r="I50" s="10">
        <f t="shared" si="2"/>
        <v>214374.2903</v>
      </c>
      <c r="J50" s="10">
        <f t="shared" si="3"/>
        <v>22</v>
      </c>
    </row>
    <row r="51" ht="14.25" customHeight="1">
      <c r="A51" s="6" t="str">
        <f t="shared" si="1"/>
        <v>2020-04-30|Екатеринбург</v>
      </c>
      <c r="B51" s="11">
        <v>43951.0</v>
      </c>
      <c r="C51" s="12" t="s">
        <v>12</v>
      </c>
      <c r="D51" s="12">
        <v>77565.0</v>
      </c>
      <c r="E51" s="12">
        <v>7023727.5</v>
      </c>
      <c r="F51" s="9">
        <f>VLOOKUP(A51,'Лист2'!$A$1:$F$505,4,FALSE)</f>
        <v>31</v>
      </c>
      <c r="G51" s="9">
        <f>VLOOKUP(A51,'Лист2'!$A$1:$F$505,5,FALSE)</f>
        <v>5120</v>
      </c>
      <c r="H51" s="9">
        <f>VLOOKUP(A51,'Лист2'!$A$1:$F$505,6,FALSE)</f>
        <v>4737</v>
      </c>
      <c r="I51" s="10">
        <f t="shared" si="2"/>
        <v>226571.8548</v>
      </c>
      <c r="J51" s="10">
        <f t="shared" si="3"/>
        <v>18</v>
      </c>
    </row>
    <row r="52" ht="14.25" customHeight="1">
      <c r="A52" s="6" t="str">
        <f t="shared" si="1"/>
        <v>2020-05-10|Екатеринбург</v>
      </c>
      <c r="B52" s="7">
        <v>43961.0</v>
      </c>
      <c r="C52" s="8" t="s">
        <v>12</v>
      </c>
      <c r="D52" s="8">
        <v>84132.0</v>
      </c>
      <c r="E52" s="8">
        <v>7483194.0</v>
      </c>
      <c r="F52" s="9">
        <f>VLOOKUP(A52,'Лист2'!$A$1:$F$505,4,FALSE)</f>
        <v>31</v>
      </c>
      <c r="G52" s="9">
        <f>VLOOKUP(A52,'Лист2'!$A$1:$F$505,5,FALSE)</f>
        <v>5495</v>
      </c>
      <c r="H52" s="9">
        <f>VLOOKUP(A52,'Лист2'!$A$1:$F$505,6,FALSE)</f>
        <v>5093</v>
      </c>
      <c r="I52" s="10">
        <f t="shared" si="2"/>
        <v>241393.3548</v>
      </c>
      <c r="J52" s="10">
        <f t="shared" si="3"/>
        <v>19</v>
      </c>
    </row>
    <row r="53" ht="14.25" customHeight="1">
      <c r="A53" s="6" t="str">
        <f t="shared" si="1"/>
        <v>2020-05-08|Екатеринбург</v>
      </c>
      <c r="B53" s="11">
        <v>43959.0</v>
      </c>
      <c r="C53" s="12" t="s">
        <v>12</v>
      </c>
      <c r="D53" s="12">
        <v>69544.5</v>
      </c>
      <c r="E53" s="12">
        <v>6293776.5</v>
      </c>
      <c r="F53" s="9">
        <f>VLOOKUP(A53,'Лист2'!$A$1:$F$505,4,FALSE)</f>
        <v>31</v>
      </c>
      <c r="G53" s="9">
        <f>VLOOKUP(A53,'Лист2'!$A$1:$F$505,5,FALSE)</f>
        <v>4635</v>
      </c>
      <c r="H53" s="9">
        <f>VLOOKUP(A53,'Лист2'!$A$1:$F$505,6,FALSE)</f>
        <v>4266</v>
      </c>
      <c r="I53" s="10">
        <f t="shared" si="2"/>
        <v>203025.0484</v>
      </c>
      <c r="J53" s="10">
        <f t="shared" si="3"/>
        <v>19</v>
      </c>
    </row>
    <row r="54" ht="14.25" customHeight="1">
      <c r="A54" s="6" t="str">
        <f t="shared" si="1"/>
        <v>2020-05-07|Екатеринбург</v>
      </c>
      <c r="B54" s="7">
        <v>43958.0</v>
      </c>
      <c r="C54" s="8" t="s">
        <v>12</v>
      </c>
      <c r="D54" s="8">
        <v>73204.5</v>
      </c>
      <c r="E54" s="8">
        <v>6591883.5</v>
      </c>
      <c r="F54" s="9">
        <f>VLOOKUP(A54,'Лист2'!$A$1:$F$505,4,FALSE)</f>
        <v>31</v>
      </c>
      <c r="G54" s="9">
        <f>VLOOKUP(A54,'Лист2'!$A$1:$F$505,5,FALSE)</f>
        <v>4903</v>
      </c>
      <c r="H54" s="9">
        <f>VLOOKUP(A54,'Лист2'!$A$1:$F$505,6,FALSE)</f>
        <v>4527</v>
      </c>
      <c r="I54" s="10">
        <f t="shared" si="2"/>
        <v>212641.4032</v>
      </c>
      <c r="J54" s="10">
        <f t="shared" si="3"/>
        <v>19</v>
      </c>
    </row>
    <row r="55" ht="14.25" customHeight="1">
      <c r="A55" s="6" t="str">
        <f t="shared" si="1"/>
        <v>2020-05-24|Екатеринбург</v>
      </c>
      <c r="B55" s="11">
        <v>43975.0</v>
      </c>
      <c r="C55" s="12" t="s">
        <v>12</v>
      </c>
      <c r="D55" s="12">
        <v>76663.5</v>
      </c>
      <c r="E55" s="12">
        <v>6451032.0</v>
      </c>
      <c r="F55" s="9">
        <f>VLOOKUP(A55,'Лист2'!$A$1:$F$505,4,FALSE)</f>
        <v>31</v>
      </c>
      <c r="G55" s="9">
        <f>VLOOKUP(A55,'Лист2'!$A$1:$F$505,5,FALSE)</f>
        <v>5035</v>
      </c>
      <c r="H55" s="9">
        <f>VLOOKUP(A55,'Лист2'!$A$1:$F$505,6,FALSE)</f>
        <v>4683</v>
      </c>
      <c r="I55" s="10">
        <f t="shared" si="2"/>
        <v>208097.8065</v>
      </c>
      <c r="J55" s="10">
        <f t="shared" si="3"/>
        <v>21</v>
      </c>
    </row>
    <row r="56" ht="14.25" customHeight="1">
      <c r="A56" s="6" t="str">
        <f t="shared" si="1"/>
        <v>2020-05-16|Тольятти</v>
      </c>
      <c r="B56" s="7">
        <v>43967.0</v>
      </c>
      <c r="C56" s="8" t="s">
        <v>13</v>
      </c>
      <c r="D56" s="8">
        <v>14265.0</v>
      </c>
      <c r="E56" s="8">
        <v>1130506.5</v>
      </c>
      <c r="F56" s="9">
        <f>VLOOKUP(A56,'Лист2'!$A$1:$F$505,4,FALSE)</f>
        <v>10</v>
      </c>
      <c r="G56" s="9">
        <f>VLOOKUP(A56,'Лист2'!$A$1:$F$505,5,FALSE)</f>
        <v>760</v>
      </c>
      <c r="H56" s="9">
        <f>VLOOKUP(A56,'Лист2'!$A$1:$F$505,6,FALSE)</f>
        <v>672</v>
      </c>
      <c r="I56" s="10">
        <f t="shared" si="2"/>
        <v>113050.65</v>
      </c>
      <c r="J56" s="10">
        <f t="shared" si="3"/>
        <v>20</v>
      </c>
    </row>
    <row r="57" ht="14.25" customHeight="1">
      <c r="A57" s="6" t="str">
        <f t="shared" si="1"/>
        <v>2020-05-19|Тольятти</v>
      </c>
      <c r="B57" s="11">
        <v>43970.0</v>
      </c>
      <c r="C57" s="12" t="s">
        <v>13</v>
      </c>
      <c r="D57" s="12">
        <v>11526.0</v>
      </c>
      <c r="E57" s="12">
        <v>938764.5</v>
      </c>
      <c r="F57" s="9">
        <f>VLOOKUP(A57,'Лист2'!$A$1:$F$505,4,FALSE)</f>
        <v>10</v>
      </c>
      <c r="G57" s="9">
        <f>VLOOKUP(A57,'Лист2'!$A$1:$F$505,5,FALSE)</f>
        <v>649</v>
      </c>
      <c r="H57" s="9">
        <f>VLOOKUP(A57,'Лист2'!$A$1:$F$505,6,FALSE)</f>
        <v>568</v>
      </c>
      <c r="I57" s="10">
        <f t="shared" si="2"/>
        <v>93876.45</v>
      </c>
      <c r="J57" s="10">
        <f t="shared" si="3"/>
        <v>21</v>
      </c>
    </row>
    <row r="58" ht="14.25" customHeight="1">
      <c r="A58" s="6" t="str">
        <f t="shared" si="1"/>
        <v>2020-05-17|Тольятти</v>
      </c>
      <c r="B58" s="7">
        <v>43968.0</v>
      </c>
      <c r="C58" s="8" t="s">
        <v>13</v>
      </c>
      <c r="D58" s="8">
        <v>10402.5</v>
      </c>
      <c r="E58" s="8">
        <v>843727.5</v>
      </c>
      <c r="F58" s="9">
        <f>VLOOKUP(A58,'Лист2'!$A$1:$F$505,4,FALSE)</f>
        <v>10</v>
      </c>
      <c r="G58" s="9">
        <f>VLOOKUP(A58,'Лист2'!$A$1:$F$505,5,FALSE)</f>
        <v>591</v>
      </c>
      <c r="H58" s="9">
        <f>VLOOKUP(A58,'Лист2'!$A$1:$F$505,6,FALSE)</f>
        <v>513</v>
      </c>
      <c r="I58" s="10">
        <f t="shared" si="2"/>
        <v>84372.75</v>
      </c>
      <c r="J58" s="10">
        <f t="shared" si="3"/>
        <v>20</v>
      </c>
    </row>
    <row r="59" ht="14.25" customHeight="1">
      <c r="A59" s="6" t="str">
        <f t="shared" si="1"/>
        <v>2020-05-09|Тольятти</v>
      </c>
      <c r="B59" s="11">
        <v>43960.0</v>
      </c>
      <c r="C59" s="12" t="s">
        <v>13</v>
      </c>
      <c r="D59" s="12">
        <v>13216.5</v>
      </c>
      <c r="E59" s="12">
        <v>1046400.0</v>
      </c>
      <c r="F59" s="9">
        <f>VLOOKUP(A59,'Лист2'!$A$1:$F$505,4,FALSE)</f>
        <v>10</v>
      </c>
      <c r="G59" s="9">
        <f>VLOOKUP(A59,'Лист2'!$A$1:$F$505,5,FALSE)</f>
        <v>644</v>
      </c>
      <c r="H59" s="9">
        <f>VLOOKUP(A59,'Лист2'!$A$1:$F$505,6,FALSE)</f>
        <v>559</v>
      </c>
      <c r="I59" s="10">
        <f t="shared" si="2"/>
        <v>104640</v>
      </c>
      <c r="J59" s="10">
        <f t="shared" si="3"/>
        <v>19</v>
      </c>
    </row>
    <row r="60" ht="14.25" customHeight="1">
      <c r="A60" s="6" t="str">
        <f t="shared" si="1"/>
        <v>2020-05-04|Тольятти</v>
      </c>
      <c r="B60" s="7">
        <v>43955.0</v>
      </c>
      <c r="C60" s="8" t="s">
        <v>13</v>
      </c>
      <c r="D60" s="8">
        <v>9130.5</v>
      </c>
      <c r="E60" s="8">
        <v>728890.5</v>
      </c>
      <c r="F60" s="9">
        <f>VLOOKUP(A60,'Лист2'!$A$1:$F$505,4,FALSE)</f>
        <v>10</v>
      </c>
      <c r="G60" s="9">
        <f>VLOOKUP(A60,'Лист2'!$A$1:$F$505,5,FALSE)</f>
        <v>462</v>
      </c>
      <c r="H60" s="9">
        <f>VLOOKUP(A60,'Лист2'!$A$1:$F$505,6,FALSE)</f>
        <v>396</v>
      </c>
      <c r="I60" s="10">
        <f t="shared" si="2"/>
        <v>72889.05</v>
      </c>
      <c r="J60" s="10">
        <f t="shared" si="3"/>
        <v>19</v>
      </c>
    </row>
    <row r="61" ht="14.25" customHeight="1">
      <c r="A61" s="6" t="str">
        <f t="shared" si="1"/>
        <v>2020-04-29|Тольятти</v>
      </c>
      <c r="B61" s="11">
        <v>43950.0</v>
      </c>
      <c r="C61" s="12" t="s">
        <v>13</v>
      </c>
      <c r="D61" s="12">
        <v>10840.5</v>
      </c>
      <c r="E61" s="12">
        <v>797919.0</v>
      </c>
      <c r="F61" s="9">
        <f>VLOOKUP(A61,'Лист2'!$A$1:$F$505,4,FALSE)</f>
        <v>10</v>
      </c>
      <c r="G61" s="9">
        <f>VLOOKUP(A61,'Лист2'!$A$1:$F$505,5,FALSE)</f>
        <v>502</v>
      </c>
      <c r="H61" s="9">
        <f>VLOOKUP(A61,'Лист2'!$A$1:$F$505,6,FALSE)</f>
        <v>433</v>
      </c>
      <c r="I61" s="10">
        <f t="shared" si="2"/>
        <v>79791.9</v>
      </c>
      <c r="J61" s="10">
        <f t="shared" si="3"/>
        <v>18</v>
      </c>
    </row>
    <row r="62" ht="14.25" customHeight="1">
      <c r="A62" s="6" t="str">
        <f t="shared" si="1"/>
        <v>2020-05-02|Тольятти</v>
      </c>
      <c r="B62" s="7">
        <v>43953.0</v>
      </c>
      <c r="C62" s="8" t="s">
        <v>13</v>
      </c>
      <c r="D62" s="8">
        <v>7866.0</v>
      </c>
      <c r="E62" s="8">
        <v>617881.5</v>
      </c>
      <c r="F62" s="9">
        <f>VLOOKUP(A62,'Лист2'!$A$1:$F$505,4,FALSE)</f>
        <v>10</v>
      </c>
      <c r="G62" s="9">
        <f>VLOOKUP(A62,'Лист2'!$A$1:$F$505,5,FALSE)</f>
        <v>416</v>
      </c>
      <c r="H62" s="9">
        <f>VLOOKUP(A62,'Лист2'!$A$1:$F$505,6,FALSE)</f>
        <v>341</v>
      </c>
      <c r="I62" s="10">
        <f t="shared" si="2"/>
        <v>61788.15</v>
      </c>
      <c r="J62" s="10">
        <f t="shared" si="3"/>
        <v>18</v>
      </c>
    </row>
    <row r="63" ht="14.25" customHeight="1">
      <c r="A63" s="6" t="str">
        <f t="shared" si="1"/>
        <v>2020-05-26|Тольятти</v>
      </c>
      <c r="B63" s="11">
        <v>43977.0</v>
      </c>
      <c r="C63" s="12" t="s">
        <v>13</v>
      </c>
      <c r="D63" s="12">
        <v>11835.0</v>
      </c>
      <c r="E63" s="12">
        <v>983109.0</v>
      </c>
      <c r="F63" s="9">
        <f>VLOOKUP(A63,'Лист2'!$A$1:$F$505,4,FALSE)</f>
        <v>10</v>
      </c>
      <c r="G63" s="9">
        <f>VLOOKUP(A63,'Лист2'!$A$1:$F$505,5,FALSE)</f>
        <v>692</v>
      </c>
      <c r="H63" s="9">
        <f>VLOOKUP(A63,'Лист2'!$A$1:$F$505,6,FALSE)</f>
        <v>601</v>
      </c>
      <c r="I63" s="10">
        <f t="shared" si="2"/>
        <v>98310.9</v>
      </c>
      <c r="J63" s="10">
        <f t="shared" si="3"/>
        <v>22</v>
      </c>
    </row>
    <row r="64" ht="14.25" customHeight="1">
      <c r="A64" s="6" t="str">
        <f t="shared" si="1"/>
        <v>2020-05-01|Тольятти</v>
      </c>
      <c r="B64" s="7">
        <v>43952.0</v>
      </c>
      <c r="C64" s="8" t="s">
        <v>13</v>
      </c>
      <c r="D64" s="8">
        <v>11619.0</v>
      </c>
      <c r="E64" s="8">
        <v>891139.5</v>
      </c>
      <c r="F64" s="9">
        <f>VLOOKUP(A64,'Лист2'!$A$1:$F$505,4,FALSE)</f>
        <v>10</v>
      </c>
      <c r="G64" s="9">
        <f>VLOOKUP(A64,'Лист2'!$A$1:$F$505,5,FALSE)</f>
        <v>554</v>
      </c>
      <c r="H64" s="9">
        <f>VLOOKUP(A64,'Лист2'!$A$1:$F$505,6,FALSE)</f>
        <v>472</v>
      </c>
      <c r="I64" s="10">
        <f t="shared" si="2"/>
        <v>89113.95</v>
      </c>
      <c r="J64" s="10">
        <f t="shared" si="3"/>
        <v>18</v>
      </c>
    </row>
    <row r="65" ht="14.25" customHeight="1">
      <c r="A65" s="6" t="str">
        <f t="shared" si="1"/>
        <v>2020-05-12|Тольятти</v>
      </c>
      <c r="B65" s="11">
        <v>43963.0</v>
      </c>
      <c r="C65" s="12" t="s">
        <v>13</v>
      </c>
      <c r="D65" s="12">
        <v>9328.5</v>
      </c>
      <c r="E65" s="12">
        <v>732964.5</v>
      </c>
      <c r="F65" s="9">
        <f>VLOOKUP(A65,'Лист2'!$A$1:$F$505,4,FALSE)</f>
        <v>10</v>
      </c>
      <c r="G65" s="9">
        <f>VLOOKUP(A65,'Лист2'!$A$1:$F$505,5,FALSE)</f>
        <v>526</v>
      </c>
      <c r="H65" s="9">
        <f>VLOOKUP(A65,'Лист2'!$A$1:$F$505,6,FALSE)</f>
        <v>448</v>
      </c>
      <c r="I65" s="10">
        <f t="shared" si="2"/>
        <v>73296.45</v>
      </c>
      <c r="J65" s="10">
        <f t="shared" si="3"/>
        <v>20</v>
      </c>
    </row>
    <row r="66" ht="14.25" customHeight="1">
      <c r="A66" s="6" t="str">
        <f t="shared" si="1"/>
        <v>2020-05-21|Тольятти</v>
      </c>
      <c r="B66" s="7">
        <v>43972.0</v>
      </c>
      <c r="C66" s="8" t="s">
        <v>13</v>
      </c>
      <c r="D66" s="8">
        <v>11250.0</v>
      </c>
      <c r="E66" s="8">
        <v>935523.0</v>
      </c>
      <c r="F66" s="9">
        <f>VLOOKUP(A66,'Лист2'!$A$1:$F$505,4,FALSE)</f>
        <v>10</v>
      </c>
      <c r="G66" s="9">
        <f>VLOOKUP(A66,'Лист2'!$A$1:$F$505,5,FALSE)</f>
        <v>677</v>
      </c>
      <c r="H66" s="9">
        <f>VLOOKUP(A66,'Лист2'!$A$1:$F$505,6,FALSE)</f>
        <v>591</v>
      </c>
      <c r="I66" s="10">
        <f t="shared" si="2"/>
        <v>93552.3</v>
      </c>
      <c r="J66" s="10">
        <f t="shared" si="3"/>
        <v>21</v>
      </c>
    </row>
    <row r="67" ht="14.25" customHeight="1">
      <c r="A67" s="6" t="str">
        <f t="shared" si="1"/>
        <v>2020-05-20|Тольятти</v>
      </c>
      <c r="B67" s="11">
        <v>43971.0</v>
      </c>
      <c r="C67" s="12" t="s">
        <v>13</v>
      </c>
      <c r="D67" s="12">
        <v>13063.5</v>
      </c>
      <c r="E67" s="12">
        <v>1037247.0</v>
      </c>
      <c r="F67" s="9">
        <f>VLOOKUP(A67,'Лист2'!$A$1:$F$505,4,FALSE)</f>
        <v>10</v>
      </c>
      <c r="G67" s="9">
        <f>VLOOKUP(A67,'Лист2'!$A$1:$F$505,5,FALSE)</f>
        <v>745</v>
      </c>
      <c r="H67" s="9">
        <f>VLOOKUP(A67,'Лист2'!$A$1:$F$505,6,FALSE)</f>
        <v>654</v>
      </c>
      <c r="I67" s="10">
        <f t="shared" si="2"/>
        <v>103724.7</v>
      </c>
      <c r="J67" s="10">
        <f t="shared" si="3"/>
        <v>21</v>
      </c>
    </row>
    <row r="68" ht="14.25" customHeight="1">
      <c r="A68" s="6" t="str">
        <f t="shared" si="1"/>
        <v>2020-05-05|Тольятти</v>
      </c>
      <c r="B68" s="7">
        <v>43956.0</v>
      </c>
      <c r="C68" s="8" t="s">
        <v>13</v>
      </c>
      <c r="D68" s="8">
        <v>10147.5</v>
      </c>
      <c r="E68" s="8">
        <v>793320.0</v>
      </c>
      <c r="F68" s="9">
        <f>VLOOKUP(A68,'Лист2'!$A$1:$F$505,4,FALSE)</f>
        <v>10</v>
      </c>
      <c r="G68" s="9">
        <f>VLOOKUP(A68,'Лист2'!$A$1:$F$505,5,FALSE)</f>
        <v>511</v>
      </c>
      <c r="H68" s="9">
        <f>VLOOKUP(A68,'Лист2'!$A$1:$F$505,6,FALSE)</f>
        <v>437</v>
      </c>
      <c r="I68" s="10">
        <f t="shared" si="2"/>
        <v>79332</v>
      </c>
      <c r="J68" s="10">
        <f t="shared" si="3"/>
        <v>19</v>
      </c>
    </row>
    <row r="69" ht="14.25" customHeight="1">
      <c r="A69" s="6" t="str">
        <f t="shared" si="1"/>
        <v>2020-04-28|Тольятти</v>
      </c>
      <c r="B69" s="11">
        <v>43949.0</v>
      </c>
      <c r="C69" s="12" t="s">
        <v>13</v>
      </c>
      <c r="D69" s="12">
        <v>12331.5</v>
      </c>
      <c r="E69" s="12">
        <v>869983.5</v>
      </c>
      <c r="F69" s="9">
        <f>VLOOKUP(A69,'Лист2'!$A$1:$F$505,4,FALSE)</f>
        <v>10</v>
      </c>
      <c r="G69" s="9">
        <f>VLOOKUP(A69,'Лист2'!$A$1:$F$505,5,FALSE)</f>
        <v>580</v>
      </c>
      <c r="H69" s="9">
        <f>VLOOKUP(A69,'Лист2'!$A$1:$F$505,6,FALSE)</f>
        <v>506</v>
      </c>
      <c r="I69" s="10">
        <f t="shared" si="2"/>
        <v>86998.35</v>
      </c>
      <c r="J69" s="10">
        <f t="shared" si="3"/>
        <v>18</v>
      </c>
    </row>
    <row r="70" ht="14.25" customHeight="1">
      <c r="A70" s="6" t="str">
        <f t="shared" si="1"/>
        <v>2020-05-13|Тольятти</v>
      </c>
      <c r="B70" s="7">
        <v>43964.0</v>
      </c>
      <c r="C70" s="8" t="s">
        <v>13</v>
      </c>
      <c r="D70" s="8">
        <v>11202.0</v>
      </c>
      <c r="E70" s="8">
        <v>865714.5</v>
      </c>
      <c r="F70" s="9">
        <f>VLOOKUP(A70,'Лист2'!$A$1:$F$505,4,FALSE)</f>
        <v>10</v>
      </c>
      <c r="G70" s="9">
        <f>VLOOKUP(A70,'Лист2'!$A$1:$F$505,5,FALSE)</f>
        <v>612</v>
      </c>
      <c r="H70" s="9">
        <f>VLOOKUP(A70,'Лист2'!$A$1:$F$505,6,FALSE)</f>
        <v>530</v>
      </c>
      <c r="I70" s="10">
        <f t="shared" si="2"/>
        <v>86571.45</v>
      </c>
      <c r="J70" s="10">
        <f t="shared" si="3"/>
        <v>20</v>
      </c>
    </row>
    <row r="71" ht="14.25" customHeight="1">
      <c r="A71" s="6" t="str">
        <f t="shared" si="1"/>
        <v>2020-05-31|Екатеринбург</v>
      </c>
      <c r="B71" s="11">
        <v>43982.0</v>
      </c>
      <c r="C71" s="12" t="s">
        <v>12</v>
      </c>
      <c r="D71" s="12">
        <v>89149.5</v>
      </c>
      <c r="E71" s="12">
        <v>7512646.5</v>
      </c>
      <c r="F71" s="9">
        <f>VLOOKUP(A71,'Лист2'!$A$1:$F$505,4,FALSE)</f>
        <v>31</v>
      </c>
      <c r="G71" s="9">
        <f>VLOOKUP(A71,'Лист2'!$A$1:$F$505,5,FALSE)</f>
        <v>5760</v>
      </c>
      <c r="H71" s="9">
        <f>VLOOKUP(A71,'Лист2'!$A$1:$F$505,6,FALSE)</f>
        <v>5367</v>
      </c>
      <c r="I71" s="10">
        <f t="shared" si="2"/>
        <v>242343.4355</v>
      </c>
      <c r="J71" s="10">
        <f t="shared" si="3"/>
        <v>22</v>
      </c>
    </row>
    <row r="72" ht="14.25" customHeight="1">
      <c r="A72" s="6" t="str">
        <f t="shared" si="1"/>
        <v>2020-05-03|Тольятти</v>
      </c>
      <c r="B72" s="7">
        <v>43954.0</v>
      </c>
      <c r="C72" s="8" t="s">
        <v>13</v>
      </c>
      <c r="D72" s="8">
        <v>8185.5</v>
      </c>
      <c r="E72" s="8">
        <v>637881.0</v>
      </c>
      <c r="F72" s="9">
        <f>VLOOKUP(A72,'Лист2'!$A$1:$F$505,4,FALSE)</f>
        <v>10</v>
      </c>
      <c r="G72" s="9">
        <f>VLOOKUP(A72,'Лист2'!$A$1:$F$505,5,FALSE)</f>
        <v>402</v>
      </c>
      <c r="H72" s="9">
        <f>VLOOKUP(A72,'Лист2'!$A$1:$F$505,6,FALSE)</f>
        <v>333</v>
      </c>
      <c r="I72" s="10">
        <f t="shared" si="2"/>
        <v>63788.1</v>
      </c>
      <c r="J72" s="10">
        <f t="shared" si="3"/>
        <v>18</v>
      </c>
    </row>
    <row r="73" ht="14.25" customHeight="1">
      <c r="A73" s="6" t="str">
        <f t="shared" si="1"/>
        <v>2020-05-30|Екатеринбург</v>
      </c>
      <c r="B73" s="11">
        <v>43981.0</v>
      </c>
      <c r="C73" s="12" t="s">
        <v>12</v>
      </c>
      <c r="D73" s="12">
        <v>108123.0</v>
      </c>
      <c r="E73" s="12">
        <v>9164707.5</v>
      </c>
      <c r="F73" s="9">
        <f>VLOOKUP(A73,'Лист2'!$A$1:$F$505,4,FALSE)</f>
        <v>31</v>
      </c>
      <c r="G73" s="9">
        <f>VLOOKUP(A73,'Лист2'!$A$1:$F$505,5,FALSE)</f>
        <v>6735</v>
      </c>
      <c r="H73" s="9">
        <f>VLOOKUP(A73,'Лист2'!$A$1:$F$505,6,FALSE)</f>
        <v>6264</v>
      </c>
      <c r="I73" s="10">
        <f t="shared" si="2"/>
        <v>295635.7258</v>
      </c>
      <c r="J73" s="10">
        <f t="shared" si="3"/>
        <v>22</v>
      </c>
    </row>
    <row r="74" ht="14.25" customHeight="1">
      <c r="A74" s="6" t="str">
        <f t="shared" si="1"/>
        <v>2020-05-06|Тольятти</v>
      </c>
      <c r="B74" s="7">
        <v>43957.0</v>
      </c>
      <c r="C74" s="8" t="s">
        <v>13</v>
      </c>
      <c r="D74" s="8">
        <v>9210.0</v>
      </c>
      <c r="E74" s="8">
        <v>696832.5</v>
      </c>
      <c r="F74" s="9">
        <f>VLOOKUP(A74,'Лист2'!$A$1:$F$505,4,FALSE)</f>
        <v>10</v>
      </c>
      <c r="G74" s="9">
        <f>VLOOKUP(A74,'Лист2'!$A$1:$F$505,5,FALSE)</f>
        <v>465</v>
      </c>
      <c r="H74" s="9">
        <f>VLOOKUP(A74,'Лист2'!$A$1:$F$505,6,FALSE)</f>
        <v>390</v>
      </c>
      <c r="I74" s="10">
        <f t="shared" si="2"/>
        <v>69683.25</v>
      </c>
      <c r="J74" s="10">
        <f t="shared" si="3"/>
        <v>19</v>
      </c>
    </row>
    <row r="75" ht="14.25" customHeight="1">
      <c r="A75" s="6" t="str">
        <f t="shared" si="1"/>
        <v>2020-05-23|Тольятти</v>
      </c>
      <c r="B75" s="11">
        <v>43974.0</v>
      </c>
      <c r="C75" s="12" t="s">
        <v>13</v>
      </c>
      <c r="D75" s="12">
        <v>14773.5</v>
      </c>
      <c r="E75" s="12">
        <v>1241383.5</v>
      </c>
      <c r="F75" s="9">
        <f>VLOOKUP(A75,'Лист2'!$A$1:$F$505,4,FALSE)</f>
        <v>10</v>
      </c>
      <c r="G75" s="9">
        <f>VLOOKUP(A75,'Лист2'!$A$1:$F$505,5,FALSE)</f>
        <v>828</v>
      </c>
      <c r="H75" s="9">
        <f>VLOOKUP(A75,'Лист2'!$A$1:$F$505,6,FALSE)</f>
        <v>734</v>
      </c>
      <c r="I75" s="10">
        <f t="shared" si="2"/>
        <v>124138.35</v>
      </c>
      <c r="J75" s="10">
        <f t="shared" si="3"/>
        <v>21</v>
      </c>
    </row>
    <row r="76" ht="14.25" customHeight="1">
      <c r="A76" s="6" t="str">
        <f t="shared" si="1"/>
        <v>2020-05-28|Екатеринбург</v>
      </c>
      <c r="B76" s="7">
        <v>43979.0</v>
      </c>
      <c r="C76" s="8" t="s">
        <v>12</v>
      </c>
      <c r="D76" s="8">
        <v>78141.0</v>
      </c>
      <c r="E76" s="8">
        <v>6641569.5</v>
      </c>
      <c r="F76" s="9">
        <f>VLOOKUP(A76,'Лист2'!$A$1:$F$505,4,FALSE)</f>
        <v>31</v>
      </c>
      <c r="G76" s="9">
        <f>VLOOKUP(A76,'Лист2'!$A$1:$F$505,5,FALSE)</f>
        <v>5355</v>
      </c>
      <c r="H76" s="9">
        <f>VLOOKUP(A76,'Лист2'!$A$1:$F$505,6,FALSE)</f>
        <v>4969</v>
      </c>
      <c r="I76" s="10">
        <f t="shared" si="2"/>
        <v>214244.1774</v>
      </c>
      <c r="J76" s="10">
        <f t="shared" si="3"/>
        <v>22</v>
      </c>
    </row>
    <row r="77" ht="14.25" customHeight="1">
      <c r="A77" s="6" t="str">
        <f t="shared" si="1"/>
        <v>2020-05-25|Тольятти</v>
      </c>
      <c r="B77" s="11">
        <v>43976.0</v>
      </c>
      <c r="C77" s="12" t="s">
        <v>13</v>
      </c>
      <c r="D77" s="12">
        <v>12280.5</v>
      </c>
      <c r="E77" s="12">
        <v>1030440.0</v>
      </c>
      <c r="F77" s="9">
        <f>VLOOKUP(A77,'Лист2'!$A$1:$F$505,4,FALSE)</f>
        <v>10</v>
      </c>
      <c r="G77" s="9">
        <f>VLOOKUP(A77,'Лист2'!$A$1:$F$505,5,FALSE)</f>
        <v>739</v>
      </c>
      <c r="H77" s="9">
        <f>VLOOKUP(A77,'Лист2'!$A$1:$F$505,6,FALSE)</f>
        <v>642</v>
      </c>
      <c r="I77" s="10">
        <f t="shared" si="2"/>
        <v>103044</v>
      </c>
      <c r="J77" s="10">
        <f t="shared" si="3"/>
        <v>22</v>
      </c>
    </row>
    <row r="78" ht="14.25" customHeight="1">
      <c r="A78" s="6" t="str">
        <f t="shared" si="1"/>
        <v>2020-04-30|Тольятти</v>
      </c>
      <c r="B78" s="7">
        <v>43951.0</v>
      </c>
      <c r="C78" s="8" t="s">
        <v>13</v>
      </c>
      <c r="D78" s="8">
        <v>8934.0</v>
      </c>
      <c r="E78" s="8">
        <v>716196.0</v>
      </c>
      <c r="F78" s="9">
        <f>VLOOKUP(A78,'Лист2'!$A$1:$F$505,4,FALSE)</f>
        <v>10</v>
      </c>
      <c r="G78" s="9">
        <f>VLOOKUP(A78,'Лист2'!$A$1:$F$505,5,FALSE)</f>
        <v>448</v>
      </c>
      <c r="H78" s="9">
        <f>VLOOKUP(A78,'Лист2'!$A$1:$F$505,6,FALSE)</f>
        <v>376</v>
      </c>
      <c r="I78" s="10">
        <f t="shared" si="2"/>
        <v>71619.6</v>
      </c>
      <c r="J78" s="10">
        <f t="shared" si="3"/>
        <v>18</v>
      </c>
    </row>
    <row r="79" ht="14.25" customHeight="1">
      <c r="A79" s="6" t="str">
        <f t="shared" si="1"/>
        <v>2020-05-10|Тольятти</v>
      </c>
      <c r="B79" s="11">
        <v>43961.0</v>
      </c>
      <c r="C79" s="12" t="s">
        <v>13</v>
      </c>
      <c r="D79" s="12">
        <v>12918.0</v>
      </c>
      <c r="E79" s="12">
        <v>1004788.5</v>
      </c>
      <c r="F79" s="9">
        <f>VLOOKUP(A79,'Лист2'!$A$1:$F$505,4,FALSE)</f>
        <v>10</v>
      </c>
      <c r="G79" s="9">
        <f>VLOOKUP(A79,'Лист2'!$A$1:$F$505,5,FALSE)</f>
        <v>642</v>
      </c>
      <c r="H79" s="9">
        <f>VLOOKUP(A79,'Лист2'!$A$1:$F$505,6,FALSE)</f>
        <v>556</v>
      </c>
      <c r="I79" s="10">
        <f t="shared" si="2"/>
        <v>100478.85</v>
      </c>
      <c r="J79" s="10">
        <f t="shared" si="3"/>
        <v>19</v>
      </c>
    </row>
    <row r="80" ht="14.25" customHeight="1">
      <c r="A80" s="6" t="str">
        <f t="shared" si="1"/>
        <v>2020-05-08|Тольятти</v>
      </c>
      <c r="B80" s="7">
        <v>43959.0</v>
      </c>
      <c r="C80" s="8" t="s">
        <v>13</v>
      </c>
      <c r="D80" s="8">
        <v>12528.0</v>
      </c>
      <c r="E80" s="8">
        <v>959703.0</v>
      </c>
      <c r="F80" s="9">
        <f>VLOOKUP(A80,'Лист2'!$A$1:$F$505,4,FALSE)</f>
        <v>10</v>
      </c>
      <c r="G80" s="9">
        <f>VLOOKUP(A80,'Лист2'!$A$1:$F$505,5,FALSE)</f>
        <v>638</v>
      </c>
      <c r="H80" s="9">
        <f>VLOOKUP(A80,'Лист2'!$A$1:$F$505,6,FALSE)</f>
        <v>547</v>
      </c>
      <c r="I80" s="10">
        <f t="shared" si="2"/>
        <v>95970.3</v>
      </c>
      <c r="J80" s="10">
        <f t="shared" si="3"/>
        <v>19</v>
      </c>
    </row>
    <row r="81" ht="14.25" customHeight="1">
      <c r="A81" s="6" t="str">
        <f t="shared" si="1"/>
        <v>2020-05-07|Тольятти</v>
      </c>
      <c r="B81" s="11">
        <v>43958.0</v>
      </c>
      <c r="C81" s="12" t="s">
        <v>13</v>
      </c>
      <c r="D81" s="12">
        <v>11029.5</v>
      </c>
      <c r="E81" s="12">
        <v>863754.0</v>
      </c>
      <c r="F81" s="9">
        <f>VLOOKUP(A81,'Лист2'!$A$1:$F$505,4,FALSE)</f>
        <v>10</v>
      </c>
      <c r="G81" s="9">
        <f>VLOOKUP(A81,'Лист2'!$A$1:$F$505,5,FALSE)</f>
        <v>563</v>
      </c>
      <c r="H81" s="9">
        <f>VLOOKUP(A81,'Лист2'!$A$1:$F$505,6,FALSE)</f>
        <v>486</v>
      </c>
      <c r="I81" s="10">
        <f t="shared" si="2"/>
        <v>86375.4</v>
      </c>
      <c r="J81" s="10">
        <f t="shared" si="3"/>
        <v>19</v>
      </c>
    </row>
    <row r="82" ht="14.25" customHeight="1">
      <c r="A82" s="6" t="str">
        <f t="shared" si="1"/>
        <v>2020-05-24|Тольятти</v>
      </c>
      <c r="B82" s="7">
        <v>43975.0</v>
      </c>
      <c r="C82" s="8" t="s">
        <v>13</v>
      </c>
      <c r="D82" s="8">
        <v>9994.5</v>
      </c>
      <c r="E82" s="8">
        <v>828984.0</v>
      </c>
      <c r="F82" s="9">
        <f>VLOOKUP(A82,'Лист2'!$A$1:$F$505,4,FALSE)</f>
        <v>10</v>
      </c>
      <c r="G82" s="9">
        <f>VLOOKUP(A82,'Лист2'!$A$1:$F$505,5,FALSE)</f>
        <v>639</v>
      </c>
      <c r="H82" s="9">
        <f>VLOOKUP(A82,'Лист2'!$A$1:$F$505,6,FALSE)</f>
        <v>557</v>
      </c>
      <c r="I82" s="10">
        <f t="shared" si="2"/>
        <v>82898.4</v>
      </c>
      <c r="J82" s="10">
        <f t="shared" si="3"/>
        <v>21</v>
      </c>
    </row>
    <row r="83" ht="14.25" customHeight="1">
      <c r="A83" s="6" t="str">
        <f t="shared" si="1"/>
        <v>2020-05-31|Тольятти</v>
      </c>
      <c r="B83" s="11">
        <v>43982.0</v>
      </c>
      <c r="C83" s="12" t="s">
        <v>13</v>
      </c>
      <c r="D83" s="12">
        <v>12724.5</v>
      </c>
      <c r="E83" s="12">
        <v>1045515.0</v>
      </c>
      <c r="F83" s="9">
        <f>VLOOKUP(A83,'Лист2'!$A$1:$F$505,4,FALSE)</f>
        <v>10</v>
      </c>
      <c r="G83" s="9">
        <f>VLOOKUP(A83,'Лист2'!$A$1:$F$505,5,FALSE)</f>
        <v>749</v>
      </c>
      <c r="H83" s="9">
        <f>VLOOKUP(A83,'Лист2'!$A$1:$F$505,6,FALSE)</f>
        <v>655</v>
      </c>
      <c r="I83" s="10">
        <f t="shared" si="2"/>
        <v>104551.5</v>
      </c>
      <c r="J83" s="10">
        <f t="shared" si="3"/>
        <v>22</v>
      </c>
    </row>
    <row r="84" ht="14.25" customHeight="1">
      <c r="A84" s="6" t="str">
        <f t="shared" si="1"/>
        <v>2020-05-30|Тольятти</v>
      </c>
      <c r="B84" s="7">
        <v>43981.0</v>
      </c>
      <c r="C84" s="8" t="s">
        <v>13</v>
      </c>
      <c r="D84" s="8">
        <v>14728.5</v>
      </c>
      <c r="E84" s="8">
        <v>1260483.0</v>
      </c>
      <c r="F84" s="9">
        <f>VLOOKUP(A84,'Лист2'!$A$1:$F$505,4,FALSE)</f>
        <v>10</v>
      </c>
      <c r="G84" s="9">
        <f>VLOOKUP(A84,'Лист2'!$A$1:$F$505,5,FALSE)</f>
        <v>865</v>
      </c>
      <c r="H84" s="9">
        <f>VLOOKUP(A84,'Лист2'!$A$1:$F$505,6,FALSE)</f>
        <v>763</v>
      </c>
      <c r="I84" s="10">
        <f t="shared" si="2"/>
        <v>126048.3</v>
      </c>
      <c r="J84" s="10">
        <f t="shared" si="3"/>
        <v>22</v>
      </c>
    </row>
    <row r="85" ht="14.25" customHeight="1">
      <c r="A85" s="6" t="str">
        <f t="shared" si="1"/>
        <v>2020-05-28|Тольятти</v>
      </c>
      <c r="B85" s="11">
        <v>43979.0</v>
      </c>
      <c r="C85" s="12" t="s">
        <v>13</v>
      </c>
      <c r="D85" s="12">
        <v>13038.0</v>
      </c>
      <c r="E85" s="12">
        <v>1114552.5</v>
      </c>
      <c r="F85" s="9">
        <f>VLOOKUP(A85,'Лист2'!$A$1:$F$505,4,FALSE)</f>
        <v>10</v>
      </c>
      <c r="G85" s="9">
        <f>VLOOKUP(A85,'Лист2'!$A$1:$F$505,5,FALSE)</f>
        <v>791</v>
      </c>
      <c r="H85" s="9">
        <f>VLOOKUP(A85,'Лист2'!$A$1:$F$505,6,FALSE)</f>
        <v>697</v>
      </c>
      <c r="I85" s="10">
        <f t="shared" si="2"/>
        <v>111455.25</v>
      </c>
      <c r="J85" s="10">
        <f t="shared" si="3"/>
        <v>22</v>
      </c>
    </row>
    <row r="86" ht="14.25" customHeight="1">
      <c r="A86" s="6" t="str">
        <f t="shared" si="1"/>
        <v>2020-05-16|Нижний Новгород</v>
      </c>
      <c r="B86" s="7">
        <v>43967.0</v>
      </c>
      <c r="C86" s="8" t="s">
        <v>14</v>
      </c>
      <c r="D86" s="8">
        <v>35482.5</v>
      </c>
      <c r="E86" s="8">
        <v>3222517.5</v>
      </c>
      <c r="F86" s="9">
        <f>VLOOKUP(A86,'Лист2'!$A$1:$F$505,4,FALSE)</f>
        <v>19</v>
      </c>
      <c r="G86" s="9">
        <f>VLOOKUP(A86,'Лист2'!$A$1:$F$505,5,FALSE)</f>
        <v>2080</v>
      </c>
      <c r="H86" s="9">
        <f>VLOOKUP(A86,'Лист2'!$A$1:$F$505,6,FALSE)</f>
        <v>1844</v>
      </c>
      <c r="I86" s="10">
        <f t="shared" si="2"/>
        <v>169606.1842</v>
      </c>
      <c r="J86" s="10">
        <f t="shared" si="3"/>
        <v>20</v>
      </c>
    </row>
    <row r="87" ht="14.25" customHeight="1">
      <c r="A87" s="6" t="str">
        <f t="shared" si="1"/>
        <v>2020-05-19|Нижний Новгород</v>
      </c>
      <c r="B87" s="11">
        <v>43970.0</v>
      </c>
      <c r="C87" s="12" t="s">
        <v>14</v>
      </c>
      <c r="D87" s="12">
        <v>32434.5</v>
      </c>
      <c r="E87" s="12">
        <v>2865337.5</v>
      </c>
      <c r="F87" s="9">
        <f>VLOOKUP(A87,'Лист2'!$A$1:$F$505,4,FALSE)</f>
        <v>19</v>
      </c>
      <c r="G87" s="9">
        <f>VLOOKUP(A87,'Лист2'!$A$1:$F$505,5,FALSE)</f>
        <v>1999</v>
      </c>
      <c r="H87" s="9">
        <f>VLOOKUP(A87,'Лист2'!$A$1:$F$505,6,FALSE)</f>
        <v>1799</v>
      </c>
      <c r="I87" s="10">
        <f t="shared" si="2"/>
        <v>150807.2368</v>
      </c>
      <c r="J87" s="10">
        <f t="shared" si="3"/>
        <v>21</v>
      </c>
    </row>
    <row r="88" ht="14.25" customHeight="1">
      <c r="A88" s="6" t="str">
        <f t="shared" si="1"/>
        <v>2020-05-17|Нижний Новгород</v>
      </c>
      <c r="B88" s="7">
        <v>43968.0</v>
      </c>
      <c r="C88" s="8" t="s">
        <v>14</v>
      </c>
      <c r="D88" s="8">
        <v>30486.0</v>
      </c>
      <c r="E88" s="8">
        <v>2694289.5</v>
      </c>
      <c r="F88" s="9">
        <f>VLOOKUP(A88,'Лист2'!$A$1:$F$505,4,FALSE)</f>
        <v>19</v>
      </c>
      <c r="G88" s="9">
        <f>VLOOKUP(A88,'Лист2'!$A$1:$F$505,5,FALSE)</f>
        <v>1871</v>
      </c>
      <c r="H88" s="9">
        <f>VLOOKUP(A88,'Лист2'!$A$1:$F$505,6,FALSE)</f>
        <v>1660</v>
      </c>
      <c r="I88" s="10">
        <f t="shared" si="2"/>
        <v>141804.7105</v>
      </c>
      <c r="J88" s="10">
        <f t="shared" si="3"/>
        <v>20</v>
      </c>
    </row>
    <row r="89" ht="14.25" customHeight="1">
      <c r="A89" s="6" t="str">
        <f t="shared" si="1"/>
        <v>2020-05-09|Нижний Новгород</v>
      </c>
      <c r="B89" s="11">
        <v>43960.0</v>
      </c>
      <c r="C89" s="12" t="s">
        <v>14</v>
      </c>
      <c r="D89" s="12">
        <v>32079.0</v>
      </c>
      <c r="E89" s="12">
        <v>2902167.0</v>
      </c>
      <c r="F89" s="9">
        <f>VLOOKUP(A89,'Лист2'!$A$1:$F$505,4,FALSE)</f>
        <v>19</v>
      </c>
      <c r="G89" s="9">
        <f>VLOOKUP(A89,'Лист2'!$A$1:$F$505,5,FALSE)</f>
        <v>1851</v>
      </c>
      <c r="H89" s="9">
        <f>VLOOKUP(A89,'Лист2'!$A$1:$F$505,6,FALSE)</f>
        <v>1635</v>
      </c>
      <c r="I89" s="10">
        <f t="shared" si="2"/>
        <v>152745.6316</v>
      </c>
      <c r="J89" s="10">
        <f t="shared" si="3"/>
        <v>19</v>
      </c>
    </row>
    <row r="90" ht="14.25" customHeight="1">
      <c r="A90" s="6" t="str">
        <f t="shared" si="1"/>
        <v>2020-05-04|Нижний Новгород</v>
      </c>
      <c r="B90" s="7">
        <v>43955.0</v>
      </c>
      <c r="C90" s="8" t="s">
        <v>14</v>
      </c>
      <c r="D90" s="8">
        <v>27072.0</v>
      </c>
      <c r="E90" s="8">
        <v>2450968.5</v>
      </c>
      <c r="F90" s="9">
        <f>VLOOKUP(A90,'Лист2'!$A$1:$F$505,4,FALSE)</f>
        <v>19</v>
      </c>
      <c r="G90" s="9">
        <f>VLOOKUP(A90,'Лист2'!$A$1:$F$505,5,FALSE)</f>
        <v>1582</v>
      </c>
      <c r="H90" s="9">
        <f>VLOOKUP(A90,'Лист2'!$A$1:$F$505,6,FALSE)</f>
        <v>1403</v>
      </c>
      <c r="I90" s="10">
        <f t="shared" si="2"/>
        <v>128998.3421</v>
      </c>
      <c r="J90" s="10">
        <f t="shared" si="3"/>
        <v>19</v>
      </c>
    </row>
    <row r="91" ht="14.25" customHeight="1">
      <c r="A91" s="6" t="str">
        <f t="shared" si="1"/>
        <v>2020-04-29|Нижний Новгород</v>
      </c>
      <c r="B91" s="11">
        <v>43950.0</v>
      </c>
      <c r="C91" s="12" t="s">
        <v>14</v>
      </c>
      <c r="D91" s="12">
        <v>25917.0</v>
      </c>
      <c r="E91" s="12">
        <v>2397588.0</v>
      </c>
      <c r="F91" s="9">
        <f>VLOOKUP(A91,'Лист2'!$A$1:$F$505,4,FALSE)</f>
        <v>18</v>
      </c>
      <c r="G91" s="9">
        <f>VLOOKUP(A91,'Лист2'!$A$1:$F$505,5,FALSE)</f>
        <v>1534</v>
      </c>
      <c r="H91" s="9">
        <f>VLOOKUP(A91,'Лист2'!$A$1:$F$505,6,FALSE)</f>
        <v>1369</v>
      </c>
      <c r="I91" s="10">
        <f t="shared" si="2"/>
        <v>133199.3333</v>
      </c>
      <c r="J91" s="10">
        <f t="shared" si="3"/>
        <v>18</v>
      </c>
    </row>
    <row r="92" ht="14.25" customHeight="1">
      <c r="A92" s="6" t="str">
        <f t="shared" si="1"/>
        <v>2020-05-02|Нижний Новгород</v>
      </c>
      <c r="B92" s="7">
        <v>43953.0</v>
      </c>
      <c r="C92" s="8" t="s">
        <v>14</v>
      </c>
      <c r="D92" s="8">
        <v>19461.0</v>
      </c>
      <c r="E92" s="8">
        <v>1799230.5</v>
      </c>
      <c r="F92" s="9">
        <f>VLOOKUP(A92,'Лист2'!$A$1:$F$505,4,FALSE)</f>
        <v>19</v>
      </c>
      <c r="G92" s="9">
        <f>VLOOKUP(A92,'Лист2'!$A$1:$F$505,5,FALSE)</f>
        <v>1217</v>
      </c>
      <c r="H92" s="9">
        <f>VLOOKUP(A92,'Лист2'!$A$1:$F$505,6,FALSE)</f>
        <v>1048</v>
      </c>
      <c r="I92" s="10">
        <f t="shared" si="2"/>
        <v>94696.34211</v>
      </c>
      <c r="J92" s="10">
        <f t="shared" si="3"/>
        <v>18</v>
      </c>
    </row>
    <row r="93" ht="14.25" customHeight="1">
      <c r="A93" s="6" t="str">
        <f t="shared" si="1"/>
        <v>2020-05-26|Нижний Новгород</v>
      </c>
      <c r="B93" s="11">
        <v>43977.0</v>
      </c>
      <c r="C93" s="12" t="s">
        <v>14</v>
      </c>
      <c r="D93" s="12">
        <v>31407.0</v>
      </c>
      <c r="E93" s="12">
        <v>2907411.0</v>
      </c>
      <c r="F93" s="9">
        <f>VLOOKUP(A93,'Лист2'!$A$1:$F$505,4,FALSE)</f>
        <v>20</v>
      </c>
      <c r="G93" s="9">
        <f>VLOOKUP(A93,'Лист2'!$A$1:$F$505,5,FALSE)</f>
        <v>2036</v>
      </c>
      <c r="H93" s="9">
        <f>VLOOKUP(A93,'Лист2'!$A$1:$F$505,6,FALSE)</f>
        <v>1790</v>
      </c>
      <c r="I93" s="10">
        <f t="shared" si="2"/>
        <v>145370.55</v>
      </c>
      <c r="J93" s="10">
        <f t="shared" si="3"/>
        <v>22</v>
      </c>
    </row>
    <row r="94" ht="14.25" customHeight="1">
      <c r="A94" s="6" t="str">
        <f t="shared" si="1"/>
        <v>2020-05-01|Нижний Новгород</v>
      </c>
      <c r="B94" s="7">
        <v>43952.0</v>
      </c>
      <c r="C94" s="8" t="s">
        <v>14</v>
      </c>
      <c r="D94" s="8">
        <v>25792.5</v>
      </c>
      <c r="E94" s="8">
        <v>2374356.0</v>
      </c>
      <c r="F94" s="9">
        <f>VLOOKUP(A94,'Лист2'!$A$1:$F$505,4,FALSE)</f>
        <v>19</v>
      </c>
      <c r="G94" s="9">
        <f>VLOOKUP(A94,'Лист2'!$A$1:$F$505,5,FALSE)</f>
        <v>1497</v>
      </c>
      <c r="H94" s="9">
        <f>VLOOKUP(A94,'Лист2'!$A$1:$F$505,6,FALSE)</f>
        <v>1291</v>
      </c>
      <c r="I94" s="10">
        <f t="shared" si="2"/>
        <v>124966.1053</v>
      </c>
      <c r="J94" s="10">
        <f t="shared" si="3"/>
        <v>18</v>
      </c>
    </row>
    <row r="95" ht="14.25" customHeight="1">
      <c r="A95" s="6" t="str">
        <f t="shared" si="1"/>
        <v>2020-05-12|Нижний Новгород</v>
      </c>
      <c r="B95" s="11">
        <v>43963.0</v>
      </c>
      <c r="C95" s="12" t="s">
        <v>14</v>
      </c>
      <c r="D95" s="12">
        <v>26032.5</v>
      </c>
      <c r="E95" s="12">
        <v>2370432.0</v>
      </c>
      <c r="F95" s="9">
        <f>VLOOKUP(A95,'Лист2'!$A$1:$F$505,4,FALSE)</f>
        <v>19</v>
      </c>
      <c r="G95" s="9">
        <f>VLOOKUP(A95,'Лист2'!$A$1:$F$505,5,FALSE)</f>
        <v>1649</v>
      </c>
      <c r="H95" s="9">
        <f>VLOOKUP(A95,'Лист2'!$A$1:$F$505,6,FALSE)</f>
        <v>1460</v>
      </c>
      <c r="I95" s="10">
        <f t="shared" si="2"/>
        <v>124759.5789</v>
      </c>
      <c r="J95" s="10">
        <f t="shared" si="3"/>
        <v>20</v>
      </c>
    </row>
    <row r="96" ht="14.25" customHeight="1">
      <c r="A96" s="6" t="str">
        <f t="shared" si="1"/>
        <v>2020-05-21|Нижний Новгород</v>
      </c>
      <c r="B96" s="7">
        <v>43972.0</v>
      </c>
      <c r="C96" s="8" t="s">
        <v>14</v>
      </c>
      <c r="D96" s="8">
        <v>31707.0</v>
      </c>
      <c r="E96" s="8">
        <v>2853181.5</v>
      </c>
      <c r="F96" s="9">
        <f>VLOOKUP(A96,'Лист2'!$A$1:$F$505,4,FALSE)</f>
        <v>19</v>
      </c>
      <c r="G96" s="9">
        <f>VLOOKUP(A96,'Лист2'!$A$1:$F$505,5,FALSE)</f>
        <v>1949</v>
      </c>
      <c r="H96" s="9">
        <f>VLOOKUP(A96,'Лист2'!$A$1:$F$505,6,FALSE)</f>
        <v>1724</v>
      </c>
      <c r="I96" s="10">
        <f t="shared" si="2"/>
        <v>150167.4474</v>
      </c>
      <c r="J96" s="10">
        <f t="shared" si="3"/>
        <v>21</v>
      </c>
    </row>
    <row r="97" ht="14.25" customHeight="1">
      <c r="A97" s="6" t="str">
        <f t="shared" si="1"/>
        <v>2020-05-20|Нижний Новгород</v>
      </c>
      <c r="B97" s="11">
        <v>43971.0</v>
      </c>
      <c r="C97" s="12" t="s">
        <v>14</v>
      </c>
      <c r="D97" s="12">
        <v>29955.0</v>
      </c>
      <c r="E97" s="12">
        <v>2692230.0</v>
      </c>
      <c r="F97" s="9">
        <f>VLOOKUP(A97,'Лист2'!$A$1:$F$505,4,FALSE)</f>
        <v>19</v>
      </c>
      <c r="G97" s="9">
        <f>VLOOKUP(A97,'Лист2'!$A$1:$F$505,5,FALSE)</f>
        <v>1889</v>
      </c>
      <c r="H97" s="9">
        <f>VLOOKUP(A97,'Лист2'!$A$1:$F$505,6,FALSE)</f>
        <v>1690</v>
      </c>
      <c r="I97" s="10">
        <f t="shared" si="2"/>
        <v>141696.3158</v>
      </c>
      <c r="J97" s="10">
        <f t="shared" si="3"/>
        <v>21</v>
      </c>
    </row>
    <row r="98" ht="14.25" customHeight="1">
      <c r="A98" s="6" t="str">
        <f t="shared" si="1"/>
        <v>2020-05-05|Нижний Новгород</v>
      </c>
      <c r="B98" s="7">
        <v>43956.0</v>
      </c>
      <c r="C98" s="8" t="s">
        <v>14</v>
      </c>
      <c r="D98" s="8">
        <v>22848.0</v>
      </c>
      <c r="E98" s="8">
        <v>2079900.0</v>
      </c>
      <c r="F98" s="9">
        <f>VLOOKUP(A98,'Лист2'!$A$1:$F$505,4,FALSE)</f>
        <v>19</v>
      </c>
      <c r="G98" s="9">
        <f>VLOOKUP(A98,'Лист2'!$A$1:$F$505,5,FALSE)</f>
        <v>1417</v>
      </c>
      <c r="H98" s="9">
        <f>VLOOKUP(A98,'Лист2'!$A$1:$F$505,6,FALSE)</f>
        <v>1245</v>
      </c>
      <c r="I98" s="10">
        <f t="shared" si="2"/>
        <v>109468.4211</v>
      </c>
      <c r="J98" s="10">
        <f t="shared" si="3"/>
        <v>19</v>
      </c>
    </row>
    <row r="99" ht="14.25" customHeight="1">
      <c r="A99" s="6" t="str">
        <f t="shared" si="1"/>
        <v>2020-04-28|Нижний Новгород</v>
      </c>
      <c r="B99" s="11">
        <v>43949.0</v>
      </c>
      <c r="C99" s="12" t="s">
        <v>14</v>
      </c>
      <c r="D99" s="12">
        <v>23314.5</v>
      </c>
      <c r="E99" s="12">
        <v>2136817.5</v>
      </c>
      <c r="F99" s="9">
        <f>VLOOKUP(A99,'Лист2'!$A$1:$F$505,4,FALSE)</f>
        <v>17</v>
      </c>
      <c r="G99" s="9">
        <f>VLOOKUP(A99,'Лист2'!$A$1:$F$505,5,FALSE)</f>
        <v>1439</v>
      </c>
      <c r="H99" s="9">
        <f>VLOOKUP(A99,'Лист2'!$A$1:$F$505,6,FALSE)</f>
        <v>1265</v>
      </c>
      <c r="I99" s="10">
        <f t="shared" si="2"/>
        <v>125695.1471</v>
      </c>
      <c r="J99" s="10">
        <f t="shared" si="3"/>
        <v>18</v>
      </c>
    </row>
    <row r="100" ht="14.25" customHeight="1">
      <c r="A100" s="6" t="str">
        <f t="shared" si="1"/>
        <v>2020-05-13|Нижний Новгород</v>
      </c>
      <c r="B100" s="7">
        <v>43964.0</v>
      </c>
      <c r="C100" s="8" t="s">
        <v>14</v>
      </c>
      <c r="D100" s="8">
        <v>26464.5</v>
      </c>
      <c r="E100" s="8">
        <v>2373337.5</v>
      </c>
      <c r="F100" s="9">
        <f>VLOOKUP(A100,'Лист2'!$A$1:$F$505,4,FALSE)</f>
        <v>19</v>
      </c>
      <c r="G100" s="9">
        <f>VLOOKUP(A100,'Лист2'!$A$1:$F$505,5,FALSE)</f>
        <v>1625</v>
      </c>
      <c r="H100" s="9">
        <f>VLOOKUP(A100,'Лист2'!$A$1:$F$505,6,FALSE)</f>
        <v>1444</v>
      </c>
      <c r="I100" s="10">
        <f t="shared" si="2"/>
        <v>124912.5</v>
      </c>
      <c r="J100" s="10">
        <f t="shared" si="3"/>
        <v>20</v>
      </c>
    </row>
    <row r="101" ht="14.25" customHeight="1">
      <c r="A101" s="6" t="str">
        <f t="shared" si="1"/>
        <v>2020-05-03|Нижний Новгород</v>
      </c>
      <c r="B101" s="11">
        <v>43954.0</v>
      </c>
      <c r="C101" s="12" t="s">
        <v>14</v>
      </c>
      <c r="D101" s="12">
        <v>23539.5</v>
      </c>
      <c r="E101" s="12">
        <v>2170309.5</v>
      </c>
      <c r="F101" s="9">
        <f>VLOOKUP(A101,'Лист2'!$A$1:$F$505,4,FALSE)</f>
        <v>19</v>
      </c>
      <c r="G101" s="9">
        <f>VLOOKUP(A101,'Лист2'!$A$1:$F$505,5,FALSE)</f>
        <v>1402</v>
      </c>
      <c r="H101" s="9">
        <f>VLOOKUP(A101,'Лист2'!$A$1:$F$505,6,FALSE)</f>
        <v>1234</v>
      </c>
      <c r="I101" s="10">
        <f t="shared" si="2"/>
        <v>114226.8158</v>
      </c>
      <c r="J101" s="10">
        <f t="shared" si="3"/>
        <v>18</v>
      </c>
    </row>
    <row r="102" ht="14.25" customHeight="1">
      <c r="A102" s="6" t="str">
        <f t="shared" si="1"/>
        <v>2020-05-06|Нижний Новгород</v>
      </c>
      <c r="B102" s="7">
        <v>43957.0</v>
      </c>
      <c r="C102" s="8" t="s">
        <v>14</v>
      </c>
      <c r="D102" s="8">
        <v>24678.0</v>
      </c>
      <c r="E102" s="8">
        <v>2232519.0</v>
      </c>
      <c r="F102" s="9">
        <f>VLOOKUP(A102,'Лист2'!$A$1:$F$505,4,FALSE)</f>
        <v>19</v>
      </c>
      <c r="G102" s="9">
        <f>VLOOKUP(A102,'Лист2'!$A$1:$F$505,5,FALSE)</f>
        <v>1499</v>
      </c>
      <c r="H102" s="9">
        <f>VLOOKUP(A102,'Лист2'!$A$1:$F$505,6,FALSE)</f>
        <v>1323</v>
      </c>
      <c r="I102" s="10">
        <f t="shared" si="2"/>
        <v>117501</v>
      </c>
      <c r="J102" s="10">
        <f t="shared" si="3"/>
        <v>19</v>
      </c>
    </row>
    <row r="103" ht="14.25" customHeight="1">
      <c r="A103" s="6" t="str">
        <f t="shared" si="1"/>
        <v>2020-05-23|Нижний Новгород</v>
      </c>
      <c r="B103" s="11">
        <v>43974.0</v>
      </c>
      <c r="C103" s="12" t="s">
        <v>14</v>
      </c>
      <c r="D103" s="12">
        <v>38176.5</v>
      </c>
      <c r="E103" s="12">
        <v>3385372.5</v>
      </c>
      <c r="F103" s="9">
        <f>VLOOKUP(A103,'Лист2'!$A$1:$F$505,4,FALSE)</f>
        <v>20</v>
      </c>
      <c r="G103" s="9">
        <f>VLOOKUP(A103,'Лист2'!$A$1:$F$505,5,FALSE)</f>
        <v>2266</v>
      </c>
      <c r="H103" s="9">
        <f>VLOOKUP(A103,'Лист2'!$A$1:$F$505,6,FALSE)</f>
        <v>1993</v>
      </c>
      <c r="I103" s="10">
        <f t="shared" si="2"/>
        <v>169268.625</v>
      </c>
      <c r="J103" s="10">
        <f t="shared" si="3"/>
        <v>21</v>
      </c>
    </row>
    <row r="104" ht="14.25" customHeight="1">
      <c r="A104" s="6" t="str">
        <f t="shared" si="1"/>
        <v>2020-05-25|Нижний Новгород</v>
      </c>
      <c r="B104" s="7">
        <v>43976.0</v>
      </c>
      <c r="C104" s="8" t="s">
        <v>14</v>
      </c>
      <c r="D104" s="8">
        <v>30603.0</v>
      </c>
      <c r="E104" s="8">
        <v>2865727.5</v>
      </c>
      <c r="F104" s="9">
        <f>VLOOKUP(A104,'Лист2'!$A$1:$F$505,4,FALSE)</f>
        <v>20</v>
      </c>
      <c r="G104" s="9">
        <f>VLOOKUP(A104,'Лист2'!$A$1:$F$505,5,FALSE)</f>
        <v>2011</v>
      </c>
      <c r="H104" s="9">
        <f>VLOOKUP(A104,'Лист2'!$A$1:$F$505,6,FALSE)</f>
        <v>1791</v>
      </c>
      <c r="I104" s="10">
        <f t="shared" si="2"/>
        <v>143286.375</v>
      </c>
      <c r="J104" s="10">
        <f t="shared" si="3"/>
        <v>22</v>
      </c>
    </row>
    <row r="105" ht="14.25" customHeight="1">
      <c r="A105" s="6" t="str">
        <f t="shared" si="1"/>
        <v>2020-04-30|Нижний Новгород</v>
      </c>
      <c r="B105" s="11">
        <v>43951.0</v>
      </c>
      <c r="C105" s="12" t="s">
        <v>14</v>
      </c>
      <c r="D105" s="12">
        <v>24211.5</v>
      </c>
      <c r="E105" s="12">
        <v>2267664.0</v>
      </c>
      <c r="F105" s="9">
        <f>VLOOKUP(A105,'Лист2'!$A$1:$F$505,4,FALSE)</f>
        <v>19</v>
      </c>
      <c r="G105" s="9">
        <f>VLOOKUP(A105,'Лист2'!$A$1:$F$505,5,FALSE)</f>
        <v>1499</v>
      </c>
      <c r="H105" s="9">
        <f>VLOOKUP(A105,'Лист2'!$A$1:$F$505,6,FALSE)</f>
        <v>1322</v>
      </c>
      <c r="I105" s="10">
        <f t="shared" si="2"/>
        <v>119350.7368</v>
      </c>
      <c r="J105" s="10">
        <f t="shared" si="3"/>
        <v>18</v>
      </c>
    </row>
    <row r="106" ht="14.25" customHeight="1">
      <c r="A106" s="6" t="str">
        <f t="shared" si="1"/>
        <v>2020-05-10|Нижний Новгород</v>
      </c>
      <c r="B106" s="7">
        <v>43961.0</v>
      </c>
      <c r="C106" s="8" t="s">
        <v>14</v>
      </c>
      <c r="D106" s="8">
        <v>31399.5</v>
      </c>
      <c r="E106" s="8">
        <v>2862298.5</v>
      </c>
      <c r="F106" s="9">
        <f>VLOOKUP(A106,'Лист2'!$A$1:$F$505,4,FALSE)</f>
        <v>19</v>
      </c>
      <c r="G106" s="9">
        <f>VLOOKUP(A106,'Лист2'!$A$1:$F$505,5,FALSE)</f>
        <v>1848</v>
      </c>
      <c r="H106" s="9">
        <f>VLOOKUP(A106,'Лист2'!$A$1:$F$505,6,FALSE)</f>
        <v>1649</v>
      </c>
      <c r="I106" s="10">
        <f t="shared" si="2"/>
        <v>150647.2895</v>
      </c>
      <c r="J106" s="10">
        <f t="shared" si="3"/>
        <v>19</v>
      </c>
    </row>
    <row r="107" ht="14.25" customHeight="1">
      <c r="A107" s="6" t="str">
        <f t="shared" si="1"/>
        <v>2020-05-08|Нижний Новгород</v>
      </c>
      <c r="B107" s="11">
        <v>43959.0</v>
      </c>
      <c r="C107" s="12" t="s">
        <v>14</v>
      </c>
      <c r="D107" s="12">
        <v>25294.5</v>
      </c>
      <c r="E107" s="12">
        <v>2271454.5</v>
      </c>
      <c r="F107" s="9">
        <f>VLOOKUP(A107,'Лист2'!$A$1:$F$505,4,FALSE)</f>
        <v>19</v>
      </c>
      <c r="G107" s="9">
        <f>VLOOKUP(A107,'Лист2'!$A$1:$F$505,5,FALSE)</f>
        <v>1522</v>
      </c>
      <c r="H107" s="9">
        <f>VLOOKUP(A107,'Лист2'!$A$1:$F$505,6,FALSE)</f>
        <v>1340</v>
      </c>
      <c r="I107" s="10">
        <f t="shared" si="2"/>
        <v>119550.2368</v>
      </c>
      <c r="J107" s="10">
        <f t="shared" si="3"/>
        <v>19</v>
      </c>
    </row>
    <row r="108" ht="14.25" customHeight="1">
      <c r="A108" s="6" t="str">
        <f t="shared" si="1"/>
        <v>2020-05-07|Нижний Новгород</v>
      </c>
      <c r="B108" s="7">
        <v>43958.0</v>
      </c>
      <c r="C108" s="8" t="s">
        <v>14</v>
      </c>
      <c r="D108" s="8">
        <v>25468.5</v>
      </c>
      <c r="E108" s="8">
        <v>2350672.5</v>
      </c>
      <c r="F108" s="9">
        <f>VLOOKUP(A108,'Лист2'!$A$1:$F$505,4,FALSE)</f>
        <v>19</v>
      </c>
      <c r="G108" s="9">
        <f>VLOOKUP(A108,'Лист2'!$A$1:$F$505,5,FALSE)</f>
        <v>1530</v>
      </c>
      <c r="H108" s="9">
        <f>VLOOKUP(A108,'Лист2'!$A$1:$F$505,6,FALSE)</f>
        <v>1338</v>
      </c>
      <c r="I108" s="10">
        <f t="shared" si="2"/>
        <v>123719.6053</v>
      </c>
      <c r="J108" s="10">
        <f t="shared" si="3"/>
        <v>19</v>
      </c>
    </row>
    <row r="109" ht="14.25" customHeight="1">
      <c r="A109" s="6" t="str">
        <f t="shared" si="1"/>
        <v>2020-05-24|Нижний Новгород</v>
      </c>
      <c r="B109" s="11">
        <v>43975.0</v>
      </c>
      <c r="C109" s="12" t="s">
        <v>14</v>
      </c>
      <c r="D109" s="12">
        <v>31854.0</v>
      </c>
      <c r="E109" s="12">
        <v>2915533.5</v>
      </c>
      <c r="F109" s="9">
        <f>VLOOKUP(A109,'Лист2'!$A$1:$F$505,4,FALSE)</f>
        <v>20</v>
      </c>
      <c r="G109" s="9">
        <f>VLOOKUP(A109,'Лист2'!$A$1:$F$505,5,FALSE)</f>
        <v>2015</v>
      </c>
      <c r="H109" s="9">
        <f>VLOOKUP(A109,'Лист2'!$A$1:$F$505,6,FALSE)</f>
        <v>1803</v>
      </c>
      <c r="I109" s="10">
        <f t="shared" si="2"/>
        <v>145776.675</v>
      </c>
      <c r="J109" s="10">
        <f t="shared" si="3"/>
        <v>21</v>
      </c>
    </row>
    <row r="110" ht="14.25" customHeight="1">
      <c r="A110" s="6" t="str">
        <f t="shared" si="1"/>
        <v>2020-05-31|Нижний Новгород</v>
      </c>
      <c r="B110" s="7">
        <v>43982.0</v>
      </c>
      <c r="C110" s="8" t="s">
        <v>14</v>
      </c>
      <c r="D110" s="8">
        <v>32359.5</v>
      </c>
      <c r="E110" s="8">
        <v>2991999.0</v>
      </c>
      <c r="F110" s="9">
        <f>VLOOKUP(A110,'Лист2'!$A$1:$F$505,4,FALSE)</f>
        <v>20</v>
      </c>
      <c r="G110" s="9">
        <f>VLOOKUP(A110,'Лист2'!$A$1:$F$505,5,FALSE)</f>
        <v>2060</v>
      </c>
      <c r="H110" s="9">
        <f>VLOOKUP(A110,'Лист2'!$A$1:$F$505,6,FALSE)</f>
        <v>1826</v>
      </c>
      <c r="I110" s="10">
        <f t="shared" si="2"/>
        <v>149599.95</v>
      </c>
      <c r="J110" s="10">
        <f t="shared" si="3"/>
        <v>22</v>
      </c>
    </row>
    <row r="111" ht="14.25" customHeight="1">
      <c r="A111" s="6" t="str">
        <f t="shared" si="1"/>
        <v>2020-05-30|Нижний Новгород</v>
      </c>
      <c r="B111" s="11">
        <v>43981.0</v>
      </c>
      <c r="C111" s="12" t="s">
        <v>14</v>
      </c>
      <c r="D111" s="12">
        <v>39867.0</v>
      </c>
      <c r="E111" s="12">
        <v>3654166.5</v>
      </c>
      <c r="F111" s="9">
        <f>VLOOKUP(A111,'Лист2'!$A$1:$F$505,4,FALSE)</f>
        <v>20</v>
      </c>
      <c r="G111" s="9">
        <f>VLOOKUP(A111,'Лист2'!$A$1:$F$505,5,FALSE)</f>
        <v>2451</v>
      </c>
      <c r="H111" s="9">
        <f>VLOOKUP(A111,'Лист2'!$A$1:$F$505,6,FALSE)</f>
        <v>2178</v>
      </c>
      <c r="I111" s="10">
        <f t="shared" si="2"/>
        <v>182708.325</v>
      </c>
      <c r="J111" s="10">
        <f t="shared" si="3"/>
        <v>22</v>
      </c>
    </row>
    <row r="112" ht="14.25" customHeight="1">
      <c r="A112" s="6" t="str">
        <f t="shared" si="1"/>
        <v>2020-05-28|Нижний Новгород</v>
      </c>
      <c r="B112" s="7">
        <v>43979.0</v>
      </c>
      <c r="C112" s="8" t="s">
        <v>14</v>
      </c>
      <c r="D112" s="8">
        <v>31974.0</v>
      </c>
      <c r="E112" s="8">
        <v>3004213.5</v>
      </c>
      <c r="F112" s="9">
        <f>VLOOKUP(A112,'Лист2'!$A$1:$F$505,4,FALSE)</f>
        <v>20</v>
      </c>
      <c r="G112" s="9">
        <f>VLOOKUP(A112,'Лист2'!$A$1:$F$505,5,FALSE)</f>
        <v>2088</v>
      </c>
      <c r="H112" s="9">
        <f>VLOOKUP(A112,'Лист2'!$A$1:$F$505,6,FALSE)</f>
        <v>1848</v>
      </c>
      <c r="I112" s="10">
        <f t="shared" si="2"/>
        <v>150210.675</v>
      </c>
      <c r="J112" s="10">
        <f t="shared" si="3"/>
        <v>22</v>
      </c>
    </row>
    <row r="113" ht="14.25" customHeight="1">
      <c r="A113" s="6" t="str">
        <f t="shared" si="1"/>
        <v>2020-05-16|Санкт-Петербург Юг</v>
      </c>
      <c r="B113" s="11">
        <v>43967.0</v>
      </c>
      <c r="C113" s="12" t="s">
        <v>15</v>
      </c>
      <c r="D113" s="12">
        <v>321412.5</v>
      </c>
      <c r="E113" s="12">
        <v>3.2235864E7</v>
      </c>
      <c r="F113" s="9">
        <f>VLOOKUP(A113,'Лист2'!$A$1:$F$505,4,FALSE)</f>
        <v>129</v>
      </c>
      <c r="G113" s="9">
        <f>VLOOKUP(A113,'Лист2'!$A$1:$F$505,5,FALSE)</f>
        <v>17914</v>
      </c>
      <c r="H113" s="9">
        <f>VLOOKUP(A113,'Лист2'!$A$1:$F$505,6,FALSE)</f>
        <v>16631</v>
      </c>
      <c r="I113" s="10">
        <f t="shared" si="2"/>
        <v>249890.4186</v>
      </c>
      <c r="J113" s="10">
        <f t="shared" si="3"/>
        <v>20</v>
      </c>
    </row>
    <row r="114" ht="14.25" customHeight="1">
      <c r="A114" s="6" t="str">
        <f t="shared" si="1"/>
        <v>2020-05-19|Санкт-Петербург Юг</v>
      </c>
      <c r="B114" s="7">
        <v>43970.0</v>
      </c>
      <c r="C114" s="8" t="s">
        <v>15</v>
      </c>
      <c r="D114" s="8">
        <v>276568.5</v>
      </c>
      <c r="E114" s="8">
        <v>2.7093624E7</v>
      </c>
      <c r="F114" s="9">
        <f>VLOOKUP(A114,'Лист2'!$A$1:$F$505,4,FALSE)</f>
        <v>129</v>
      </c>
      <c r="G114" s="9">
        <f>VLOOKUP(A114,'Лист2'!$A$1:$F$505,5,FALSE)</f>
        <v>16191</v>
      </c>
      <c r="H114" s="9">
        <f>VLOOKUP(A114,'Лист2'!$A$1:$F$505,6,FALSE)</f>
        <v>15102</v>
      </c>
      <c r="I114" s="10">
        <f t="shared" si="2"/>
        <v>210028.093</v>
      </c>
      <c r="J114" s="10">
        <f t="shared" si="3"/>
        <v>21</v>
      </c>
    </row>
    <row r="115" ht="14.25" customHeight="1">
      <c r="A115" s="6" t="str">
        <f t="shared" si="1"/>
        <v>2020-05-17|Санкт-Петербург Юг</v>
      </c>
      <c r="B115" s="11">
        <v>43968.0</v>
      </c>
      <c r="C115" s="12" t="s">
        <v>15</v>
      </c>
      <c r="D115" s="12">
        <v>269029.5</v>
      </c>
      <c r="E115" s="12">
        <v>2.66599305E7</v>
      </c>
      <c r="F115" s="9">
        <f>VLOOKUP(A115,'Лист2'!$A$1:$F$505,4,FALSE)</f>
        <v>129</v>
      </c>
      <c r="G115" s="9">
        <f>VLOOKUP(A115,'Лист2'!$A$1:$F$505,5,FALSE)</f>
        <v>15744</v>
      </c>
      <c r="H115" s="9">
        <f>VLOOKUP(A115,'Лист2'!$A$1:$F$505,6,FALSE)</f>
        <v>14685</v>
      </c>
      <c r="I115" s="10">
        <f t="shared" si="2"/>
        <v>206666.1279</v>
      </c>
      <c r="J115" s="10">
        <f t="shared" si="3"/>
        <v>20</v>
      </c>
    </row>
    <row r="116" ht="14.25" customHeight="1">
      <c r="A116" s="6" t="str">
        <f t="shared" si="1"/>
        <v>2020-05-09|Санкт-Петербург Юг</v>
      </c>
      <c r="B116" s="7">
        <v>43960.0</v>
      </c>
      <c r="C116" s="8" t="s">
        <v>15</v>
      </c>
      <c r="D116" s="8">
        <v>285972.0</v>
      </c>
      <c r="E116" s="8">
        <v>2.9768199E7</v>
      </c>
      <c r="F116" s="9">
        <f>VLOOKUP(A116,'Лист2'!$A$1:$F$505,4,FALSE)</f>
        <v>129</v>
      </c>
      <c r="G116" s="9">
        <f>VLOOKUP(A116,'Лист2'!$A$1:$F$505,5,FALSE)</f>
        <v>16420</v>
      </c>
      <c r="H116" s="9">
        <f>VLOOKUP(A116,'Лист2'!$A$1:$F$505,6,FALSE)</f>
        <v>15169</v>
      </c>
      <c r="I116" s="10">
        <f t="shared" si="2"/>
        <v>230761.2326</v>
      </c>
      <c r="J116" s="10">
        <f t="shared" si="3"/>
        <v>19</v>
      </c>
    </row>
    <row r="117" ht="14.25" customHeight="1">
      <c r="A117" s="6" t="str">
        <f t="shared" si="1"/>
        <v>2020-05-04|Санкт-Петербург Юг</v>
      </c>
      <c r="B117" s="11">
        <v>43955.0</v>
      </c>
      <c r="C117" s="12" t="s">
        <v>15</v>
      </c>
      <c r="D117" s="12">
        <v>283942.5</v>
      </c>
      <c r="E117" s="12">
        <v>2.935794E7</v>
      </c>
      <c r="F117" s="9">
        <f>VLOOKUP(A117,'Лист2'!$A$1:$F$505,4,FALSE)</f>
        <v>129</v>
      </c>
      <c r="G117" s="9">
        <f>VLOOKUP(A117,'Лист2'!$A$1:$F$505,5,FALSE)</f>
        <v>16525</v>
      </c>
      <c r="H117" s="9">
        <f>VLOOKUP(A117,'Лист2'!$A$1:$F$505,6,FALSE)</f>
        <v>15310</v>
      </c>
      <c r="I117" s="10">
        <f t="shared" si="2"/>
        <v>227580.9302</v>
      </c>
      <c r="J117" s="10">
        <f t="shared" si="3"/>
        <v>19</v>
      </c>
    </row>
    <row r="118" ht="14.25" customHeight="1">
      <c r="A118" s="6" t="str">
        <f t="shared" si="1"/>
        <v>2020-04-29|Санкт-Петербург Юг</v>
      </c>
      <c r="B118" s="7">
        <v>43950.0</v>
      </c>
      <c r="C118" s="8" t="s">
        <v>15</v>
      </c>
      <c r="D118" s="8">
        <v>298059.0</v>
      </c>
      <c r="E118" s="8">
        <v>3.08692875E7</v>
      </c>
      <c r="F118" s="9">
        <f>VLOOKUP(A118,'Лист2'!$A$1:$F$505,4,FALSE)</f>
        <v>128</v>
      </c>
      <c r="G118" s="9">
        <f>VLOOKUP(A118,'Лист2'!$A$1:$F$505,5,FALSE)</f>
        <v>17368</v>
      </c>
      <c r="H118" s="9">
        <f>VLOOKUP(A118,'Лист2'!$A$1:$F$505,6,FALSE)</f>
        <v>16077</v>
      </c>
      <c r="I118" s="10">
        <f t="shared" si="2"/>
        <v>241166.3086</v>
      </c>
      <c r="J118" s="10">
        <f t="shared" si="3"/>
        <v>18</v>
      </c>
    </row>
    <row r="119" ht="14.25" customHeight="1">
      <c r="A119" s="6" t="str">
        <f t="shared" si="1"/>
        <v>2020-05-02|Санкт-Петербург Юг</v>
      </c>
      <c r="B119" s="11">
        <v>43953.0</v>
      </c>
      <c r="C119" s="12" t="s">
        <v>15</v>
      </c>
      <c r="D119" s="12">
        <v>232903.5</v>
      </c>
      <c r="E119" s="12">
        <v>2.43420165E7</v>
      </c>
      <c r="F119" s="9">
        <f>VLOOKUP(A119,'Лист2'!$A$1:$F$505,4,FALSE)</f>
        <v>129</v>
      </c>
      <c r="G119" s="9">
        <f>VLOOKUP(A119,'Лист2'!$A$1:$F$505,5,FALSE)</f>
        <v>14009</v>
      </c>
      <c r="H119" s="9">
        <f>VLOOKUP(A119,'Лист2'!$A$1:$F$505,6,FALSE)</f>
        <v>12920</v>
      </c>
      <c r="I119" s="10">
        <f t="shared" si="2"/>
        <v>188697.8023</v>
      </c>
      <c r="J119" s="10">
        <f t="shared" si="3"/>
        <v>18</v>
      </c>
    </row>
    <row r="120" ht="14.25" customHeight="1">
      <c r="A120" s="6" t="str">
        <f t="shared" si="1"/>
        <v>2020-05-26|Санкт-Петербург Юг</v>
      </c>
      <c r="B120" s="7">
        <v>43977.0</v>
      </c>
      <c r="C120" s="8" t="s">
        <v>15</v>
      </c>
      <c r="D120" s="8">
        <v>276966.0</v>
      </c>
      <c r="E120" s="8">
        <v>2.787261789885E7</v>
      </c>
      <c r="F120" s="9">
        <f>VLOOKUP(A120,'Лист2'!$A$1:$F$505,4,FALSE)</f>
        <v>129</v>
      </c>
      <c r="G120" s="9">
        <f>VLOOKUP(A120,'Лист2'!$A$1:$F$505,5,FALSE)</f>
        <v>16459</v>
      </c>
      <c r="H120" s="9">
        <f>VLOOKUP(A120,'Лист2'!$A$1:$F$505,6,FALSE)</f>
        <v>15355</v>
      </c>
      <c r="I120" s="10">
        <f t="shared" si="2"/>
        <v>216066.8054</v>
      </c>
      <c r="J120" s="10">
        <f t="shared" si="3"/>
        <v>22</v>
      </c>
    </row>
    <row r="121" ht="14.25" customHeight="1">
      <c r="A121" s="6" t="str">
        <f t="shared" si="1"/>
        <v>2020-05-01|Санкт-Петербург Юг</v>
      </c>
      <c r="B121" s="11">
        <v>43952.0</v>
      </c>
      <c r="C121" s="12" t="s">
        <v>15</v>
      </c>
      <c r="D121" s="12">
        <v>296149.5</v>
      </c>
      <c r="E121" s="12">
        <v>3.10533165E7</v>
      </c>
      <c r="F121" s="9">
        <f>VLOOKUP(A121,'Лист2'!$A$1:$F$505,4,FALSE)</f>
        <v>129</v>
      </c>
      <c r="G121" s="9">
        <f>VLOOKUP(A121,'Лист2'!$A$1:$F$505,5,FALSE)</f>
        <v>17002</v>
      </c>
      <c r="H121" s="9">
        <f>VLOOKUP(A121,'Лист2'!$A$1:$F$505,6,FALSE)</f>
        <v>15570</v>
      </c>
      <c r="I121" s="10">
        <f t="shared" si="2"/>
        <v>240723.3837</v>
      </c>
      <c r="J121" s="10">
        <f t="shared" si="3"/>
        <v>18</v>
      </c>
    </row>
    <row r="122" ht="14.25" customHeight="1">
      <c r="A122" s="6" t="str">
        <f t="shared" si="1"/>
        <v>2020-05-12|Санкт-Петербург Юг</v>
      </c>
      <c r="B122" s="7">
        <v>43963.0</v>
      </c>
      <c r="C122" s="8" t="s">
        <v>15</v>
      </c>
      <c r="D122" s="8">
        <v>281796.0</v>
      </c>
      <c r="E122" s="8">
        <v>2.904252E7</v>
      </c>
      <c r="F122" s="9">
        <f>VLOOKUP(A122,'Лист2'!$A$1:$F$505,4,FALSE)</f>
        <v>129</v>
      </c>
      <c r="G122" s="9">
        <f>VLOOKUP(A122,'Лист2'!$A$1:$F$505,5,FALSE)</f>
        <v>16387</v>
      </c>
      <c r="H122" s="9">
        <f>VLOOKUP(A122,'Лист2'!$A$1:$F$505,6,FALSE)</f>
        <v>15322</v>
      </c>
      <c r="I122" s="10">
        <f t="shared" si="2"/>
        <v>225135.814</v>
      </c>
      <c r="J122" s="10">
        <f t="shared" si="3"/>
        <v>20</v>
      </c>
    </row>
    <row r="123" ht="14.25" customHeight="1">
      <c r="A123" s="6" t="str">
        <f t="shared" si="1"/>
        <v>2020-05-21|Санкт-Петербург Юг</v>
      </c>
      <c r="B123" s="11">
        <v>43972.0</v>
      </c>
      <c r="C123" s="12" t="s">
        <v>15</v>
      </c>
      <c r="D123" s="12">
        <v>288936.0</v>
      </c>
      <c r="E123" s="12">
        <v>2.78529E7</v>
      </c>
      <c r="F123" s="9">
        <f>VLOOKUP(A123,'Лист2'!$A$1:$F$505,4,FALSE)</f>
        <v>129</v>
      </c>
      <c r="G123" s="9">
        <f>VLOOKUP(A123,'Лист2'!$A$1:$F$505,5,FALSE)</f>
        <v>16373</v>
      </c>
      <c r="H123" s="9">
        <f>VLOOKUP(A123,'Лист2'!$A$1:$F$505,6,FALSE)</f>
        <v>15223</v>
      </c>
      <c r="I123" s="10">
        <f t="shared" si="2"/>
        <v>215913.9535</v>
      </c>
      <c r="J123" s="10">
        <f t="shared" si="3"/>
        <v>21</v>
      </c>
    </row>
    <row r="124" ht="14.25" customHeight="1">
      <c r="A124" s="6" t="str">
        <f t="shared" si="1"/>
        <v>2020-05-20|Санкт-Петербург Юг</v>
      </c>
      <c r="B124" s="7">
        <v>43971.0</v>
      </c>
      <c r="C124" s="8" t="s">
        <v>15</v>
      </c>
      <c r="D124" s="8">
        <v>300151.5</v>
      </c>
      <c r="E124" s="8">
        <v>2.936877161745E7</v>
      </c>
      <c r="F124" s="9">
        <f>VLOOKUP(A124,'Лист2'!$A$1:$F$505,4,FALSE)</f>
        <v>129</v>
      </c>
      <c r="G124" s="9">
        <f>VLOOKUP(A124,'Лист2'!$A$1:$F$505,5,FALSE)</f>
        <v>17095</v>
      </c>
      <c r="H124" s="9">
        <f>VLOOKUP(A124,'Лист2'!$A$1:$F$505,6,FALSE)</f>
        <v>15919</v>
      </c>
      <c r="I124" s="10">
        <f t="shared" si="2"/>
        <v>227664.8963</v>
      </c>
      <c r="J124" s="10">
        <f t="shared" si="3"/>
        <v>21</v>
      </c>
    </row>
    <row r="125" ht="14.25" customHeight="1">
      <c r="A125" s="6" t="str">
        <f t="shared" si="1"/>
        <v>2020-05-05|Санкт-Петербург Юг</v>
      </c>
      <c r="B125" s="11">
        <v>43956.0</v>
      </c>
      <c r="C125" s="12" t="s">
        <v>15</v>
      </c>
      <c r="D125" s="12">
        <v>262734.0</v>
      </c>
      <c r="E125" s="12">
        <v>2.7278441145E7</v>
      </c>
      <c r="F125" s="9">
        <f>VLOOKUP(A125,'Лист2'!$A$1:$F$505,4,FALSE)</f>
        <v>129</v>
      </c>
      <c r="G125" s="9">
        <f>VLOOKUP(A125,'Лист2'!$A$1:$F$505,5,FALSE)</f>
        <v>15665</v>
      </c>
      <c r="H125" s="9">
        <f>VLOOKUP(A125,'Лист2'!$A$1:$F$505,6,FALSE)</f>
        <v>14501</v>
      </c>
      <c r="I125" s="10">
        <f t="shared" si="2"/>
        <v>211460.7841</v>
      </c>
      <c r="J125" s="10">
        <f t="shared" si="3"/>
        <v>19</v>
      </c>
    </row>
    <row r="126" ht="14.25" customHeight="1">
      <c r="A126" s="6" t="str">
        <f t="shared" si="1"/>
        <v>2020-04-28|Санкт-Петербург Юг</v>
      </c>
      <c r="B126" s="7">
        <v>43949.0</v>
      </c>
      <c r="C126" s="8" t="s">
        <v>15</v>
      </c>
      <c r="D126" s="8">
        <v>286002.0</v>
      </c>
      <c r="E126" s="8">
        <v>2.91590325E7</v>
      </c>
      <c r="F126" s="9">
        <f>VLOOKUP(A126,'Лист2'!$A$1:$F$505,4,FALSE)</f>
        <v>128</v>
      </c>
      <c r="G126" s="9">
        <f>VLOOKUP(A126,'Лист2'!$A$1:$F$505,5,FALSE)</f>
        <v>16450</v>
      </c>
      <c r="H126" s="9">
        <f>VLOOKUP(A126,'Лист2'!$A$1:$F$505,6,FALSE)</f>
        <v>15320</v>
      </c>
      <c r="I126" s="10">
        <f t="shared" si="2"/>
        <v>227804.9414</v>
      </c>
      <c r="J126" s="10">
        <f t="shared" si="3"/>
        <v>18</v>
      </c>
    </row>
    <row r="127" ht="14.25" customHeight="1">
      <c r="A127" s="6" t="str">
        <f t="shared" si="1"/>
        <v>2020-05-13|Санкт-Петербург Юг</v>
      </c>
      <c r="B127" s="11">
        <v>43964.0</v>
      </c>
      <c r="C127" s="12" t="s">
        <v>15</v>
      </c>
      <c r="D127" s="12">
        <v>258459.0</v>
      </c>
      <c r="E127" s="12">
        <v>2.64674535E7</v>
      </c>
      <c r="F127" s="9">
        <f>VLOOKUP(A127,'Лист2'!$A$1:$F$505,4,FALSE)</f>
        <v>129</v>
      </c>
      <c r="G127" s="9">
        <f>VLOOKUP(A127,'Лист2'!$A$1:$F$505,5,FALSE)</f>
        <v>15304</v>
      </c>
      <c r="H127" s="9">
        <f>VLOOKUP(A127,'Лист2'!$A$1:$F$505,6,FALSE)</f>
        <v>14315</v>
      </c>
      <c r="I127" s="10">
        <f t="shared" si="2"/>
        <v>205174.0581</v>
      </c>
      <c r="J127" s="10">
        <f t="shared" si="3"/>
        <v>20</v>
      </c>
    </row>
    <row r="128" ht="14.25" customHeight="1">
      <c r="A128" s="6" t="str">
        <f t="shared" si="1"/>
        <v>2020-05-03|Санкт-Петербург Юг</v>
      </c>
      <c r="B128" s="7">
        <v>43954.0</v>
      </c>
      <c r="C128" s="8" t="s">
        <v>15</v>
      </c>
      <c r="D128" s="8">
        <v>274083.0</v>
      </c>
      <c r="E128" s="8">
        <v>2.8427001E7</v>
      </c>
      <c r="F128" s="9">
        <f>VLOOKUP(A128,'Лист2'!$A$1:$F$505,4,FALSE)</f>
        <v>129</v>
      </c>
      <c r="G128" s="9">
        <f>VLOOKUP(A128,'Лист2'!$A$1:$F$505,5,FALSE)</f>
        <v>15778</v>
      </c>
      <c r="H128" s="9">
        <f>VLOOKUP(A128,'Лист2'!$A$1:$F$505,6,FALSE)</f>
        <v>14624</v>
      </c>
      <c r="I128" s="10">
        <f t="shared" si="2"/>
        <v>220364.3488</v>
      </c>
      <c r="J128" s="10">
        <f t="shared" si="3"/>
        <v>18</v>
      </c>
    </row>
    <row r="129" ht="14.25" customHeight="1">
      <c r="A129" s="6" t="str">
        <f t="shared" si="1"/>
        <v>2020-05-06|Санкт-Петербург Юг</v>
      </c>
      <c r="B129" s="11">
        <v>43957.0</v>
      </c>
      <c r="C129" s="12" t="s">
        <v>15</v>
      </c>
      <c r="D129" s="12">
        <v>277512.0</v>
      </c>
      <c r="E129" s="12">
        <v>2.87708101056E7</v>
      </c>
      <c r="F129" s="9">
        <f>VLOOKUP(A129,'Лист2'!$A$1:$F$505,4,FALSE)</f>
        <v>129</v>
      </c>
      <c r="G129" s="9">
        <f>VLOOKUP(A129,'Лист2'!$A$1:$F$505,5,FALSE)</f>
        <v>16376</v>
      </c>
      <c r="H129" s="9">
        <f>VLOOKUP(A129,'Лист2'!$A$1:$F$505,6,FALSE)</f>
        <v>15197</v>
      </c>
      <c r="I129" s="10">
        <f t="shared" si="2"/>
        <v>223029.5357</v>
      </c>
      <c r="J129" s="10">
        <f t="shared" si="3"/>
        <v>19</v>
      </c>
    </row>
    <row r="130" ht="14.25" customHeight="1">
      <c r="A130" s="6" t="str">
        <f t="shared" si="1"/>
        <v>2020-05-23|Санкт-Петербург Юг</v>
      </c>
      <c r="B130" s="7">
        <v>43974.0</v>
      </c>
      <c r="C130" s="8" t="s">
        <v>15</v>
      </c>
      <c r="D130" s="8">
        <v>356982.0</v>
      </c>
      <c r="E130" s="8">
        <v>3.510392671155E7</v>
      </c>
      <c r="F130" s="9">
        <f>VLOOKUP(A130,'Лист2'!$A$1:$F$505,4,FALSE)</f>
        <v>129</v>
      </c>
      <c r="G130" s="9">
        <f>VLOOKUP(A130,'Лист2'!$A$1:$F$505,5,FALSE)</f>
        <v>19856</v>
      </c>
      <c r="H130" s="9">
        <f>VLOOKUP(A130,'Лист2'!$A$1:$F$505,6,FALSE)</f>
        <v>18325</v>
      </c>
      <c r="I130" s="10">
        <f t="shared" si="2"/>
        <v>272123.4629</v>
      </c>
      <c r="J130" s="10">
        <f t="shared" si="3"/>
        <v>21</v>
      </c>
    </row>
    <row r="131" ht="14.25" customHeight="1">
      <c r="A131" s="6" t="str">
        <f t="shared" si="1"/>
        <v>2020-05-25|Санкт-Петербург Юг</v>
      </c>
      <c r="B131" s="11">
        <v>43976.0</v>
      </c>
      <c r="C131" s="12" t="s">
        <v>15</v>
      </c>
      <c r="D131" s="12">
        <v>266983.5</v>
      </c>
      <c r="E131" s="12">
        <v>2.71659135E7</v>
      </c>
      <c r="F131" s="9">
        <f>VLOOKUP(A131,'Лист2'!$A$1:$F$505,4,FALSE)</f>
        <v>129</v>
      </c>
      <c r="G131" s="9">
        <f>VLOOKUP(A131,'Лист2'!$A$1:$F$505,5,FALSE)</f>
        <v>15822</v>
      </c>
      <c r="H131" s="9">
        <f>VLOOKUP(A131,'Лист2'!$A$1:$F$505,6,FALSE)</f>
        <v>14753</v>
      </c>
      <c r="I131" s="10">
        <f t="shared" si="2"/>
        <v>210588.4767</v>
      </c>
      <c r="J131" s="10">
        <f t="shared" si="3"/>
        <v>22</v>
      </c>
    </row>
    <row r="132" ht="14.25" customHeight="1">
      <c r="A132" s="6" t="str">
        <f t="shared" si="1"/>
        <v>2020-04-30|Санкт-Петербург Юг</v>
      </c>
      <c r="B132" s="7">
        <v>43951.0</v>
      </c>
      <c r="C132" s="8" t="s">
        <v>15</v>
      </c>
      <c r="D132" s="8">
        <v>311131.5</v>
      </c>
      <c r="E132" s="8">
        <v>3.2418879E7</v>
      </c>
      <c r="F132" s="9">
        <f>VLOOKUP(A132,'Лист2'!$A$1:$F$505,4,FALSE)</f>
        <v>129</v>
      </c>
      <c r="G132" s="9">
        <f>VLOOKUP(A132,'Лист2'!$A$1:$F$505,5,FALSE)</f>
        <v>18042</v>
      </c>
      <c r="H132" s="9">
        <f>VLOOKUP(A132,'Лист2'!$A$1:$F$505,6,FALSE)</f>
        <v>16631</v>
      </c>
      <c r="I132" s="10">
        <f t="shared" si="2"/>
        <v>251309.1395</v>
      </c>
      <c r="J132" s="10">
        <f t="shared" si="3"/>
        <v>18</v>
      </c>
    </row>
    <row r="133" ht="14.25" customHeight="1">
      <c r="A133" s="6" t="str">
        <f t="shared" si="1"/>
        <v>2020-05-10|Санкт-Петербург Юг</v>
      </c>
      <c r="B133" s="11">
        <v>43961.0</v>
      </c>
      <c r="C133" s="12" t="s">
        <v>15</v>
      </c>
      <c r="D133" s="12">
        <v>287206.5</v>
      </c>
      <c r="E133" s="12">
        <v>2.953617610605E7</v>
      </c>
      <c r="F133" s="9">
        <f>VLOOKUP(A133,'Лист2'!$A$1:$F$505,4,FALSE)</f>
        <v>129</v>
      </c>
      <c r="G133" s="9">
        <f>VLOOKUP(A133,'Лист2'!$A$1:$F$505,5,FALSE)</f>
        <v>16437</v>
      </c>
      <c r="H133" s="9">
        <f>VLOOKUP(A133,'Лист2'!$A$1:$F$505,6,FALSE)</f>
        <v>15285</v>
      </c>
      <c r="I133" s="10">
        <f t="shared" si="2"/>
        <v>228962.6055</v>
      </c>
      <c r="J133" s="10">
        <f t="shared" si="3"/>
        <v>19</v>
      </c>
    </row>
    <row r="134" ht="14.25" customHeight="1">
      <c r="A134" s="6" t="str">
        <f t="shared" si="1"/>
        <v>2020-05-08|Санкт-Петербург Юг</v>
      </c>
      <c r="B134" s="7">
        <v>43959.0</v>
      </c>
      <c r="C134" s="8" t="s">
        <v>15</v>
      </c>
      <c r="D134" s="8">
        <v>370092.0</v>
      </c>
      <c r="E134" s="8">
        <v>3.80915565E7</v>
      </c>
      <c r="F134" s="9">
        <f>VLOOKUP(A134,'Лист2'!$A$1:$F$505,4,FALSE)</f>
        <v>129</v>
      </c>
      <c r="G134" s="9">
        <f>VLOOKUP(A134,'Лист2'!$A$1:$F$505,5,FALSE)</f>
        <v>20452</v>
      </c>
      <c r="H134" s="9">
        <f>VLOOKUP(A134,'Лист2'!$A$1:$F$505,6,FALSE)</f>
        <v>18857</v>
      </c>
      <c r="I134" s="10">
        <f t="shared" si="2"/>
        <v>295283.3837</v>
      </c>
      <c r="J134" s="10">
        <f t="shared" si="3"/>
        <v>19</v>
      </c>
    </row>
    <row r="135" ht="14.25" customHeight="1">
      <c r="A135" s="6" t="str">
        <f t="shared" si="1"/>
        <v>2020-05-07|Санкт-Петербург Юг</v>
      </c>
      <c r="B135" s="11">
        <v>43958.0</v>
      </c>
      <c r="C135" s="12" t="s">
        <v>15</v>
      </c>
      <c r="D135" s="12">
        <v>247813.5</v>
      </c>
      <c r="E135" s="12">
        <v>2.5325271E7</v>
      </c>
      <c r="F135" s="9">
        <f>VLOOKUP(A135,'Лист2'!$A$1:$F$505,4,FALSE)</f>
        <v>129</v>
      </c>
      <c r="G135" s="9">
        <f>VLOOKUP(A135,'Лист2'!$A$1:$F$505,5,FALSE)</f>
        <v>14582</v>
      </c>
      <c r="H135" s="9">
        <f>VLOOKUP(A135,'Лист2'!$A$1:$F$505,6,FALSE)</f>
        <v>13512</v>
      </c>
      <c r="I135" s="10">
        <f t="shared" si="2"/>
        <v>196319.9302</v>
      </c>
      <c r="J135" s="10">
        <f t="shared" si="3"/>
        <v>19</v>
      </c>
    </row>
    <row r="136" ht="14.25" customHeight="1">
      <c r="A136" s="6" t="str">
        <f t="shared" si="1"/>
        <v>2020-05-24|Санкт-Петербург Юг</v>
      </c>
      <c r="B136" s="7">
        <v>43975.0</v>
      </c>
      <c r="C136" s="8" t="s">
        <v>15</v>
      </c>
      <c r="D136" s="8">
        <v>287740.5</v>
      </c>
      <c r="E136" s="8">
        <v>2.8188534E7</v>
      </c>
      <c r="F136" s="9">
        <f>VLOOKUP(A136,'Лист2'!$A$1:$F$505,4,FALSE)</f>
        <v>129</v>
      </c>
      <c r="G136" s="9">
        <f>VLOOKUP(A136,'Лист2'!$A$1:$F$505,5,FALSE)</f>
        <v>16432</v>
      </c>
      <c r="H136" s="9">
        <f>VLOOKUP(A136,'Лист2'!$A$1:$F$505,6,FALSE)</f>
        <v>15345</v>
      </c>
      <c r="I136" s="10">
        <f t="shared" si="2"/>
        <v>218515.7674</v>
      </c>
      <c r="J136" s="10">
        <f t="shared" si="3"/>
        <v>21</v>
      </c>
    </row>
    <row r="137" ht="14.25" customHeight="1">
      <c r="A137" s="6" t="str">
        <f t="shared" si="1"/>
        <v>2020-05-16|Санкт-Петербург Север</v>
      </c>
      <c r="B137" s="11">
        <v>43967.0</v>
      </c>
      <c r="C137" s="12" t="s">
        <v>16</v>
      </c>
      <c r="D137" s="12">
        <v>408810.0</v>
      </c>
      <c r="E137" s="12">
        <v>4.2323631E7</v>
      </c>
      <c r="F137" s="9">
        <f>VLOOKUP(A137,'Лист2'!$A$1:$F$505,4,FALSE)</f>
        <v>125</v>
      </c>
      <c r="G137" s="9">
        <f>VLOOKUP(A137,'Лист2'!$A$1:$F$505,5,FALSE)</f>
        <v>22291</v>
      </c>
      <c r="H137" s="9">
        <f>VLOOKUP(A137,'Лист2'!$A$1:$F$505,6,FALSE)</f>
        <v>20635</v>
      </c>
      <c r="I137" s="10">
        <f t="shared" si="2"/>
        <v>338589.048</v>
      </c>
      <c r="J137" s="10">
        <f t="shared" si="3"/>
        <v>20</v>
      </c>
    </row>
    <row r="138" ht="14.25" customHeight="1">
      <c r="A138" s="6" t="str">
        <f t="shared" si="1"/>
        <v>2020-05-19|Санкт-Петербург Север</v>
      </c>
      <c r="B138" s="7">
        <v>43970.0</v>
      </c>
      <c r="C138" s="8" t="s">
        <v>16</v>
      </c>
      <c r="D138" s="8">
        <v>362536.5</v>
      </c>
      <c r="E138" s="8">
        <v>3.7023243E7</v>
      </c>
      <c r="F138" s="9">
        <f>VLOOKUP(A138,'Лист2'!$A$1:$F$505,4,FALSE)</f>
        <v>125</v>
      </c>
      <c r="G138" s="9">
        <f>VLOOKUP(A138,'Лист2'!$A$1:$F$505,5,FALSE)</f>
        <v>20771</v>
      </c>
      <c r="H138" s="9">
        <f>VLOOKUP(A138,'Лист2'!$A$1:$F$505,6,FALSE)</f>
        <v>19338</v>
      </c>
      <c r="I138" s="10">
        <f t="shared" si="2"/>
        <v>296185.944</v>
      </c>
      <c r="J138" s="10">
        <f t="shared" si="3"/>
        <v>21</v>
      </c>
    </row>
    <row r="139" ht="14.25" customHeight="1">
      <c r="A139" s="6" t="str">
        <f t="shared" si="1"/>
        <v>2020-05-17|Санкт-Петербург Север</v>
      </c>
      <c r="B139" s="11">
        <v>43968.0</v>
      </c>
      <c r="C139" s="12" t="s">
        <v>16</v>
      </c>
      <c r="D139" s="12">
        <v>357072.0</v>
      </c>
      <c r="E139" s="12">
        <v>3.6834567E7</v>
      </c>
      <c r="F139" s="9">
        <f>VLOOKUP(A139,'Лист2'!$A$1:$F$505,4,FALSE)</f>
        <v>125</v>
      </c>
      <c r="G139" s="9">
        <f>VLOOKUP(A139,'Лист2'!$A$1:$F$505,5,FALSE)</f>
        <v>20079</v>
      </c>
      <c r="H139" s="9">
        <f>VLOOKUP(A139,'Лист2'!$A$1:$F$505,6,FALSE)</f>
        <v>18721</v>
      </c>
      <c r="I139" s="10">
        <f t="shared" si="2"/>
        <v>294676.536</v>
      </c>
      <c r="J139" s="10">
        <f t="shared" si="3"/>
        <v>20</v>
      </c>
    </row>
    <row r="140" ht="14.25" customHeight="1">
      <c r="A140" s="6" t="str">
        <f t="shared" si="1"/>
        <v>2020-05-09|Санкт-Петербург Север</v>
      </c>
      <c r="B140" s="7">
        <v>43960.0</v>
      </c>
      <c r="C140" s="8" t="s">
        <v>16</v>
      </c>
      <c r="D140" s="8">
        <v>359214.0</v>
      </c>
      <c r="E140" s="8">
        <v>3.8693427E7</v>
      </c>
      <c r="F140" s="9">
        <f>VLOOKUP(A140,'Лист2'!$A$1:$F$505,4,FALSE)</f>
        <v>125</v>
      </c>
      <c r="G140" s="9">
        <f>VLOOKUP(A140,'Лист2'!$A$1:$F$505,5,FALSE)</f>
        <v>20132</v>
      </c>
      <c r="H140" s="9">
        <f>VLOOKUP(A140,'Лист2'!$A$1:$F$505,6,FALSE)</f>
        <v>18617</v>
      </c>
      <c r="I140" s="10">
        <f t="shared" si="2"/>
        <v>309547.416</v>
      </c>
      <c r="J140" s="10">
        <f t="shared" si="3"/>
        <v>19</v>
      </c>
    </row>
    <row r="141" ht="14.25" customHeight="1">
      <c r="A141" s="6" t="str">
        <f t="shared" si="1"/>
        <v>2020-05-04|Санкт-Петербург Север</v>
      </c>
      <c r="B141" s="11">
        <v>43955.0</v>
      </c>
      <c r="C141" s="12" t="s">
        <v>16</v>
      </c>
      <c r="D141" s="12">
        <v>360255.0</v>
      </c>
      <c r="E141" s="12">
        <v>3.8406954E7</v>
      </c>
      <c r="F141" s="9">
        <f>VLOOKUP(A141,'Лист2'!$A$1:$F$505,4,FALSE)</f>
        <v>125</v>
      </c>
      <c r="G141" s="9">
        <f>VLOOKUP(A141,'Лист2'!$A$1:$F$505,5,FALSE)</f>
        <v>20495</v>
      </c>
      <c r="H141" s="9">
        <f>VLOOKUP(A141,'Лист2'!$A$1:$F$505,6,FALSE)</f>
        <v>18964</v>
      </c>
      <c r="I141" s="10">
        <f t="shared" si="2"/>
        <v>307255.632</v>
      </c>
      <c r="J141" s="10">
        <f t="shared" si="3"/>
        <v>19</v>
      </c>
    </row>
    <row r="142" ht="14.25" customHeight="1">
      <c r="A142" s="6" t="str">
        <f t="shared" si="1"/>
        <v>2020-04-29|Санкт-Петербург Север</v>
      </c>
      <c r="B142" s="7">
        <v>43950.0</v>
      </c>
      <c r="C142" s="8" t="s">
        <v>16</v>
      </c>
      <c r="D142" s="8">
        <v>387220.5</v>
      </c>
      <c r="E142" s="8">
        <v>4.1559384E7</v>
      </c>
      <c r="F142" s="9">
        <f>VLOOKUP(A142,'Лист2'!$A$1:$F$505,4,FALSE)</f>
        <v>125</v>
      </c>
      <c r="G142" s="9">
        <f>VLOOKUP(A142,'Лист2'!$A$1:$F$505,5,FALSE)</f>
        <v>21863</v>
      </c>
      <c r="H142" s="9">
        <f>VLOOKUP(A142,'Лист2'!$A$1:$F$505,6,FALSE)</f>
        <v>20160</v>
      </c>
      <c r="I142" s="10">
        <f t="shared" si="2"/>
        <v>332475.072</v>
      </c>
      <c r="J142" s="10">
        <f t="shared" si="3"/>
        <v>18</v>
      </c>
    </row>
    <row r="143" ht="14.25" customHeight="1">
      <c r="A143" s="6" t="str">
        <f t="shared" si="1"/>
        <v>2020-05-02|Санкт-Петербург Север</v>
      </c>
      <c r="B143" s="11">
        <v>43953.0</v>
      </c>
      <c r="C143" s="12" t="s">
        <v>16</v>
      </c>
      <c r="D143" s="12">
        <v>296580.0</v>
      </c>
      <c r="E143" s="12">
        <v>3.1843737E7</v>
      </c>
      <c r="F143" s="9">
        <f>VLOOKUP(A143,'Лист2'!$A$1:$F$505,4,FALSE)</f>
        <v>125</v>
      </c>
      <c r="G143" s="9">
        <f>VLOOKUP(A143,'Лист2'!$A$1:$F$505,5,FALSE)</f>
        <v>16932</v>
      </c>
      <c r="H143" s="9">
        <f>VLOOKUP(A143,'Лист2'!$A$1:$F$505,6,FALSE)</f>
        <v>15601</v>
      </c>
      <c r="I143" s="10">
        <f t="shared" si="2"/>
        <v>254749.896</v>
      </c>
      <c r="J143" s="10">
        <f t="shared" si="3"/>
        <v>18</v>
      </c>
    </row>
    <row r="144" ht="14.25" customHeight="1">
      <c r="A144" s="6" t="str">
        <f t="shared" si="1"/>
        <v>2020-05-26|Санкт-Петербург Север</v>
      </c>
      <c r="B144" s="7">
        <v>43977.0</v>
      </c>
      <c r="C144" s="8" t="s">
        <v>16</v>
      </c>
      <c r="D144" s="8">
        <v>369861.0</v>
      </c>
      <c r="E144" s="8">
        <v>3.83659605E7</v>
      </c>
      <c r="F144" s="9">
        <f>VLOOKUP(A144,'Лист2'!$A$1:$F$505,4,FALSE)</f>
        <v>124</v>
      </c>
      <c r="G144" s="9">
        <f>VLOOKUP(A144,'Лист2'!$A$1:$F$505,5,FALSE)</f>
        <v>21153</v>
      </c>
      <c r="H144" s="9">
        <f>VLOOKUP(A144,'Лист2'!$A$1:$F$505,6,FALSE)</f>
        <v>19673</v>
      </c>
      <c r="I144" s="10">
        <f t="shared" si="2"/>
        <v>309402.9073</v>
      </c>
      <c r="J144" s="10">
        <f t="shared" si="3"/>
        <v>22</v>
      </c>
    </row>
    <row r="145" ht="14.25" customHeight="1">
      <c r="A145" s="6" t="str">
        <f t="shared" si="1"/>
        <v>2020-05-01|Санкт-Петербург Север</v>
      </c>
      <c r="B145" s="11">
        <v>43952.0</v>
      </c>
      <c r="C145" s="12" t="s">
        <v>16</v>
      </c>
      <c r="D145" s="12">
        <v>372504.0</v>
      </c>
      <c r="E145" s="12">
        <v>4.00771935E7</v>
      </c>
      <c r="F145" s="9">
        <f>VLOOKUP(A145,'Лист2'!$A$1:$F$505,4,FALSE)</f>
        <v>125</v>
      </c>
      <c r="G145" s="9">
        <f>VLOOKUP(A145,'Лист2'!$A$1:$F$505,5,FALSE)</f>
        <v>20602</v>
      </c>
      <c r="H145" s="9">
        <f>VLOOKUP(A145,'Лист2'!$A$1:$F$505,6,FALSE)</f>
        <v>18845</v>
      </c>
      <c r="I145" s="10">
        <f t="shared" si="2"/>
        <v>320617.548</v>
      </c>
      <c r="J145" s="10">
        <f t="shared" si="3"/>
        <v>18</v>
      </c>
    </row>
    <row r="146" ht="14.25" customHeight="1">
      <c r="A146" s="6" t="str">
        <f t="shared" si="1"/>
        <v>2020-05-12|Санкт-Петербург Север</v>
      </c>
      <c r="B146" s="7">
        <v>43963.0</v>
      </c>
      <c r="C146" s="8" t="s">
        <v>16</v>
      </c>
      <c r="D146" s="8">
        <v>373392.0</v>
      </c>
      <c r="E146" s="8">
        <v>3.9578577E7</v>
      </c>
      <c r="F146" s="9">
        <f>VLOOKUP(A146,'Лист2'!$A$1:$F$505,4,FALSE)</f>
        <v>125</v>
      </c>
      <c r="G146" s="9">
        <f>VLOOKUP(A146,'Лист2'!$A$1:$F$505,5,FALSE)</f>
        <v>21106</v>
      </c>
      <c r="H146" s="9">
        <f>VLOOKUP(A146,'Лист2'!$A$1:$F$505,6,FALSE)</f>
        <v>19651</v>
      </c>
      <c r="I146" s="10">
        <f t="shared" si="2"/>
        <v>316628.616</v>
      </c>
      <c r="J146" s="10">
        <f t="shared" si="3"/>
        <v>20</v>
      </c>
    </row>
    <row r="147" ht="14.25" customHeight="1">
      <c r="A147" s="6" t="str">
        <f t="shared" si="1"/>
        <v>2020-05-21|Санкт-Петербург Север</v>
      </c>
      <c r="B147" s="11">
        <v>43972.0</v>
      </c>
      <c r="C147" s="12" t="s">
        <v>16</v>
      </c>
      <c r="D147" s="12">
        <v>378043.5</v>
      </c>
      <c r="E147" s="12">
        <v>3.790215657E7</v>
      </c>
      <c r="F147" s="9">
        <f>VLOOKUP(A147,'Лист2'!$A$1:$F$505,4,FALSE)</f>
        <v>125</v>
      </c>
      <c r="G147" s="9">
        <f>VLOOKUP(A147,'Лист2'!$A$1:$F$505,5,FALSE)</f>
        <v>20911</v>
      </c>
      <c r="H147" s="9">
        <f>VLOOKUP(A147,'Лист2'!$A$1:$F$505,6,FALSE)</f>
        <v>19358</v>
      </c>
      <c r="I147" s="10">
        <f t="shared" si="2"/>
        <v>303217.2526</v>
      </c>
      <c r="J147" s="10">
        <f t="shared" si="3"/>
        <v>21</v>
      </c>
    </row>
    <row r="148" ht="14.25" customHeight="1">
      <c r="A148" s="6" t="str">
        <f t="shared" si="1"/>
        <v>2020-05-20|Санкт-Петербург Север</v>
      </c>
      <c r="B148" s="7">
        <v>43971.0</v>
      </c>
      <c r="C148" s="8" t="s">
        <v>16</v>
      </c>
      <c r="D148" s="8">
        <v>388668.0</v>
      </c>
      <c r="E148" s="8">
        <v>3.9639309E7</v>
      </c>
      <c r="F148" s="9">
        <f>VLOOKUP(A148,'Лист2'!$A$1:$F$505,4,FALSE)</f>
        <v>125</v>
      </c>
      <c r="G148" s="9">
        <f>VLOOKUP(A148,'Лист2'!$A$1:$F$505,5,FALSE)</f>
        <v>21674</v>
      </c>
      <c r="H148" s="9">
        <f>VLOOKUP(A148,'Лист2'!$A$1:$F$505,6,FALSE)</f>
        <v>20155</v>
      </c>
      <c r="I148" s="10">
        <f t="shared" si="2"/>
        <v>317114.472</v>
      </c>
      <c r="J148" s="10">
        <f t="shared" si="3"/>
        <v>21</v>
      </c>
    </row>
    <row r="149" ht="14.25" customHeight="1">
      <c r="A149" s="6" t="str">
        <f t="shared" si="1"/>
        <v>2020-05-05|Санкт-Петербург Север</v>
      </c>
      <c r="B149" s="11">
        <v>43956.0</v>
      </c>
      <c r="C149" s="12" t="s">
        <v>16</v>
      </c>
      <c r="D149" s="12">
        <v>333792.0</v>
      </c>
      <c r="E149" s="12">
        <v>3.5671734E7</v>
      </c>
      <c r="F149" s="9">
        <f>VLOOKUP(A149,'Лист2'!$A$1:$F$505,4,FALSE)</f>
        <v>125</v>
      </c>
      <c r="G149" s="9">
        <f>VLOOKUP(A149,'Лист2'!$A$1:$F$505,5,FALSE)</f>
        <v>18944</v>
      </c>
      <c r="H149" s="9">
        <f>VLOOKUP(A149,'Лист2'!$A$1:$F$505,6,FALSE)</f>
        <v>17541</v>
      </c>
      <c r="I149" s="10">
        <f t="shared" si="2"/>
        <v>285373.872</v>
      </c>
      <c r="J149" s="10">
        <f t="shared" si="3"/>
        <v>19</v>
      </c>
    </row>
    <row r="150" ht="14.25" customHeight="1">
      <c r="A150" s="6" t="str">
        <f t="shared" si="1"/>
        <v>2020-04-28|Санкт-Петербург Север</v>
      </c>
      <c r="B150" s="7">
        <v>43949.0</v>
      </c>
      <c r="C150" s="8" t="s">
        <v>16</v>
      </c>
      <c r="D150" s="8">
        <v>376060.5</v>
      </c>
      <c r="E150" s="8">
        <v>3.99180285E7</v>
      </c>
      <c r="F150" s="9">
        <f>VLOOKUP(A150,'Лист2'!$A$1:$F$505,4,FALSE)</f>
        <v>125</v>
      </c>
      <c r="G150" s="9">
        <f>VLOOKUP(A150,'Лист2'!$A$1:$F$505,5,FALSE)</f>
        <v>20914</v>
      </c>
      <c r="H150" s="9">
        <f>VLOOKUP(A150,'Лист2'!$A$1:$F$505,6,FALSE)</f>
        <v>19479</v>
      </c>
      <c r="I150" s="10">
        <f t="shared" si="2"/>
        <v>319344.228</v>
      </c>
      <c r="J150" s="10">
        <f t="shared" si="3"/>
        <v>18</v>
      </c>
    </row>
    <row r="151" ht="14.25" customHeight="1">
      <c r="A151" s="6" t="str">
        <f t="shared" si="1"/>
        <v>2020-05-13|Санкт-Петербург Север</v>
      </c>
      <c r="B151" s="11">
        <v>43964.0</v>
      </c>
      <c r="C151" s="12" t="s">
        <v>16</v>
      </c>
      <c r="D151" s="12">
        <v>350068.5</v>
      </c>
      <c r="E151" s="12">
        <v>3.71971155E7</v>
      </c>
      <c r="F151" s="9">
        <f>VLOOKUP(A151,'Лист2'!$A$1:$F$505,4,FALSE)</f>
        <v>125</v>
      </c>
      <c r="G151" s="9">
        <f>VLOOKUP(A151,'Лист2'!$A$1:$F$505,5,FALSE)</f>
        <v>19965</v>
      </c>
      <c r="H151" s="9">
        <f>VLOOKUP(A151,'Лист2'!$A$1:$F$505,6,FALSE)</f>
        <v>18573</v>
      </c>
      <c r="I151" s="10">
        <f t="shared" si="2"/>
        <v>297576.924</v>
      </c>
      <c r="J151" s="10">
        <f t="shared" si="3"/>
        <v>20</v>
      </c>
    </row>
    <row r="152" ht="14.25" customHeight="1">
      <c r="A152" s="6" t="str">
        <f t="shared" si="1"/>
        <v>2020-05-31|Санкт-Петербург Юг</v>
      </c>
      <c r="B152" s="7">
        <v>43982.0</v>
      </c>
      <c r="C152" s="8" t="s">
        <v>15</v>
      </c>
      <c r="D152" s="8">
        <v>294337.5</v>
      </c>
      <c r="E152" s="8">
        <v>2.9327766E7</v>
      </c>
      <c r="F152" s="9">
        <f>VLOOKUP(A152,'Лист2'!$A$1:$F$505,4,FALSE)</f>
        <v>129</v>
      </c>
      <c r="G152" s="9">
        <f>VLOOKUP(A152,'Лист2'!$A$1:$F$505,5,FALSE)</f>
        <v>17235</v>
      </c>
      <c r="H152" s="9">
        <f>VLOOKUP(A152,'Лист2'!$A$1:$F$505,6,FALSE)</f>
        <v>16052</v>
      </c>
      <c r="I152" s="10">
        <f t="shared" si="2"/>
        <v>227347.0233</v>
      </c>
      <c r="J152" s="10">
        <f t="shared" si="3"/>
        <v>22</v>
      </c>
    </row>
    <row r="153" ht="14.25" customHeight="1">
      <c r="A153" s="6" t="str">
        <f t="shared" si="1"/>
        <v>2020-05-03|Санкт-Петербург Север</v>
      </c>
      <c r="B153" s="11">
        <v>43954.0</v>
      </c>
      <c r="C153" s="12" t="s">
        <v>16</v>
      </c>
      <c r="D153" s="12">
        <v>342666.0</v>
      </c>
      <c r="E153" s="12">
        <v>3.66319995E7</v>
      </c>
      <c r="F153" s="9">
        <f>VLOOKUP(A153,'Лист2'!$A$1:$F$505,4,FALSE)</f>
        <v>125</v>
      </c>
      <c r="G153" s="9">
        <f>VLOOKUP(A153,'Лист2'!$A$1:$F$505,5,FALSE)</f>
        <v>18861</v>
      </c>
      <c r="H153" s="9">
        <f>VLOOKUP(A153,'Лист2'!$A$1:$F$505,6,FALSE)</f>
        <v>17420</v>
      </c>
      <c r="I153" s="10">
        <f t="shared" si="2"/>
        <v>293055.996</v>
      </c>
      <c r="J153" s="10">
        <f t="shared" si="3"/>
        <v>18</v>
      </c>
    </row>
    <row r="154" ht="14.25" customHeight="1">
      <c r="A154" s="6" t="str">
        <f t="shared" si="1"/>
        <v>2020-05-30|Санкт-Петербург Юг</v>
      </c>
      <c r="B154" s="7">
        <v>43981.0</v>
      </c>
      <c r="C154" s="8" t="s">
        <v>15</v>
      </c>
      <c r="D154" s="8">
        <v>364882.5</v>
      </c>
      <c r="E154" s="8">
        <v>3.57244935E7</v>
      </c>
      <c r="F154" s="9">
        <f>VLOOKUP(A154,'Лист2'!$A$1:$F$505,4,FALSE)</f>
        <v>129</v>
      </c>
      <c r="G154" s="9">
        <f>VLOOKUP(A154,'Лист2'!$A$1:$F$505,5,FALSE)</f>
        <v>20243</v>
      </c>
      <c r="H154" s="9">
        <f>VLOOKUP(A154,'Лист2'!$A$1:$F$505,6,FALSE)</f>
        <v>18711</v>
      </c>
      <c r="I154" s="10">
        <f t="shared" si="2"/>
        <v>276934.0581</v>
      </c>
      <c r="J154" s="10">
        <f t="shared" si="3"/>
        <v>22</v>
      </c>
    </row>
    <row r="155" ht="14.25" customHeight="1">
      <c r="A155" s="6" t="str">
        <f t="shared" si="1"/>
        <v>2020-05-06|Санкт-Петербург Север</v>
      </c>
      <c r="B155" s="11">
        <v>43957.0</v>
      </c>
      <c r="C155" s="12" t="s">
        <v>16</v>
      </c>
      <c r="D155" s="12">
        <v>355278.0</v>
      </c>
      <c r="E155" s="12">
        <v>3.8092344E7</v>
      </c>
      <c r="F155" s="9">
        <f>VLOOKUP(A155,'Лист2'!$A$1:$F$505,4,FALSE)</f>
        <v>125</v>
      </c>
      <c r="G155" s="9">
        <f>VLOOKUP(A155,'Лист2'!$A$1:$F$505,5,FALSE)</f>
        <v>20218</v>
      </c>
      <c r="H155" s="9">
        <f>VLOOKUP(A155,'Лист2'!$A$1:$F$505,6,FALSE)</f>
        <v>18647</v>
      </c>
      <c r="I155" s="10">
        <f t="shared" si="2"/>
        <v>304738.752</v>
      </c>
      <c r="J155" s="10">
        <f t="shared" si="3"/>
        <v>19</v>
      </c>
    </row>
    <row r="156" ht="14.25" customHeight="1">
      <c r="A156" s="6" t="str">
        <f t="shared" si="1"/>
        <v>2020-05-23|Санкт-Петербург Север</v>
      </c>
      <c r="B156" s="7">
        <v>43974.0</v>
      </c>
      <c r="C156" s="8" t="s">
        <v>16</v>
      </c>
      <c r="D156" s="8">
        <v>456885.0</v>
      </c>
      <c r="E156" s="8">
        <v>4.640808E7</v>
      </c>
      <c r="F156" s="9">
        <f>VLOOKUP(A156,'Лист2'!$A$1:$F$505,4,FALSE)</f>
        <v>125</v>
      </c>
      <c r="G156" s="9">
        <f>VLOOKUP(A156,'Лист2'!$A$1:$F$505,5,FALSE)</f>
        <v>24574</v>
      </c>
      <c r="H156" s="9">
        <f>VLOOKUP(A156,'Лист2'!$A$1:$F$505,6,FALSE)</f>
        <v>22609</v>
      </c>
      <c r="I156" s="10">
        <f t="shared" si="2"/>
        <v>371264.64</v>
      </c>
      <c r="J156" s="10">
        <f t="shared" si="3"/>
        <v>21</v>
      </c>
    </row>
    <row r="157" ht="14.25" customHeight="1">
      <c r="A157" s="6" t="str">
        <f t="shared" si="1"/>
        <v>2020-05-28|Санкт-Петербург Юг</v>
      </c>
      <c r="B157" s="11">
        <v>43979.0</v>
      </c>
      <c r="C157" s="12" t="s">
        <v>15</v>
      </c>
      <c r="D157" s="12">
        <v>278491.5</v>
      </c>
      <c r="E157" s="12">
        <v>2.815100475E7</v>
      </c>
      <c r="F157" s="9">
        <f>VLOOKUP(A157,'Лист2'!$A$1:$F$505,4,FALSE)</f>
        <v>129</v>
      </c>
      <c r="G157" s="9">
        <f>VLOOKUP(A157,'Лист2'!$A$1:$F$505,5,FALSE)</f>
        <v>16453</v>
      </c>
      <c r="H157" s="9">
        <f>VLOOKUP(A157,'Лист2'!$A$1:$F$505,6,FALSE)</f>
        <v>15289</v>
      </c>
      <c r="I157" s="10">
        <f t="shared" si="2"/>
        <v>218224.843</v>
      </c>
      <c r="J157" s="10">
        <f t="shared" si="3"/>
        <v>22</v>
      </c>
    </row>
    <row r="158" ht="14.25" customHeight="1">
      <c r="A158" s="6" t="str">
        <f t="shared" si="1"/>
        <v>2020-05-25|Санкт-Петербург Север</v>
      </c>
      <c r="B158" s="7">
        <v>43976.0</v>
      </c>
      <c r="C158" s="8" t="s">
        <v>16</v>
      </c>
      <c r="D158" s="8">
        <v>349734.0</v>
      </c>
      <c r="E158" s="8">
        <v>3.6883428E7</v>
      </c>
      <c r="F158" s="9">
        <f>VLOOKUP(A158,'Лист2'!$A$1:$F$505,4,FALSE)</f>
        <v>124</v>
      </c>
      <c r="G158" s="9">
        <f>VLOOKUP(A158,'Лист2'!$A$1:$F$505,5,FALSE)</f>
        <v>20358</v>
      </c>
      <c r="H158" s="9">
        <f>VLOOKUP(A158,'Лист2'!$A$1:$F$505,6,FALSE)</f>
        <v>18890</v>
      </c>
      <c r="I158" s="10">
        <f t="shared" si="2"/>
        <v>297447</v>
      </c>
      <c r="J158" s="10">
        <f t="shared" si="3"/>
        <v>22</v>
      </c>
    </row>
    <row r="159" ht="14.25" customHeight="1">
      <c r="A159" s="6" t="str">
        <f t="shared" si="1"/>
        <v>2020-04-30|Санкт-Петербург Север</v>
      </c>
      <c r="B159" s="11">
        <v>43951.0</v>
      </c>
      <c r="C159" s="12" t="s">
        <v>16</v>
      </c>
      <c r="D159" s="12">
        <v>401580.0</v>
      </c>
      <c r="E159" s="12">
        <v>4.30287345E7</v>
      </c>
      <c r="F159" s="9">
        <f>VLOOKUP(A159,'Лист2'!$A$1:$F$505,4,FALSE)</f>
        <v>125</v>
      </c>
      <c r="G159" s="9">
        <f>VLOOKUP(A159,'Лист2'!$A$1:$F$505,5,FALSE)</f>
        <v>22368</v>
      </c>
      <c r="H159" s="9">
        <f>VLOOKUP(A159,'Лист2'!$A$1:$F$505,6,FALSE)</f>
        <v>20625</v>
      </c>
      <c r="I159" s="10">
        <f t="shared" si="2"/>
        <v>344229.876</v>
      </c>
      <c r="J159" s="10">
        <f t="shared" si="3"/>
        <v>18</v>
      </c>
    </row>
    <row r="160" ht="14.25" customHeight="1">
      <c r="A160" s="6" t="str">
        <f t="shared" si="1"/>
        <v>2020-05-10|Санкт-Петербург Север</v>
      </c>
      <c r="B160" s="7">
        <v>43961.0</v>
      </c>
      <c r="C160" s="8" t="s">
        <v>16</v>
      </c>
      <c r="D160" s="8">
        <v>368649.0</v>
      </c>
      <c r="E160" s="8">
        <v>3.9010875E7</v>
      </c>
      <c r="F160" s="9">
        <f>VLOOKUP(A160,'Лист2'!$A$1:$F$505,4,FALSE)</f>
        <v>125</v>
      </c>
      <c r="G160" s="9">
        <f>VLOOKUP(A160,'Лист2'!$A$1:$F$505,5,FALSE)</f>
        <v>20368</v>
      </c>
      <c r="H160" s="9">
        <f>VLOOKUP(A160,'Лист2'!$A$1:$F$505,6,FALSE)</f>
        <v>18884</v>
      </c>
      <c r="I160" s="10">
        <f t="shared" si="2"/>
        <v>312087</v>
      </c>
      <c r="J160" s="10">
        <f t="shared" si="3"/>
        <v>19</v>
      </c>
    </row>
    <row r="161" ht="14.25" customHeight="1">
      <c r="A161" s="6" t="str">
        <f t="shared" si="1"/>
        <v>2020-05-08|Санкт-Петербург Север</v>
      </c>
      <c r="B161" s="11">
        <v>43959.0</v>
      </c>
      <c r="C161" s="12" t="s">
        <v>16</v>
      </c>
      <c r="D161" s="12">
        <v>463530.0</v>
      </c>
      <c r="E161" s="12">
        <v>4.91231805E7</v>
      </c>
      <c r="F161" s="9">
        <f>VLOOKUP(A161,'Лист2'!$A$1:$F$505,4,FALSE)</f>
        <v>125</v>
      </c>
      <c r="G161" s="9">
        <f>VLOOKUP(A161,'Лист2'!$A$1:$F$505,5,FALSE)</f>
        <v>24620</v>
      </c>
      <c r="H161" s="9">
        <f>VLOOKUP(A161,'Лист2'!$A$1:$F$505,6,FALSE)</f>
        <v>22641</v>
      </c>
      <c r="I161" s="10">
        <f t="shared" si="2"/>
        <v>392985.444</v>
      </c>
      <c r="J161" s="10">
        <f t="shared" si="3"/>
        <v>19</v>
      </c>
    </row>
    <row r="162" ht="14.25" customHeight="1">
      <c r="A162" s="6" t="str">
        <f t="shared" si="1"/>
        <v>2020-05-07|Санкт-Петербург Север</v>
      </c>
      <c r="B162" s="7">
        <v>43958.0</v>
      </c>
      <c r="C162" s="8" t="s">
        <v>16</v>
      </c>
      <c r="D162" s="8">
        <v>319110.0</v>
      </c>
      <c r="E162" s="8">
        <v>3.3763989E7</v>
      </c>
      <c r="F162" s="9">
        <f>VLOOKUP(A162,'Лист2'!$A$1:$F$505,4,FALSE)</f>
        <v>125</v>
      </c>
      <c r="G162" s="9">
        <f>VLOOKUP(A162,'Лист2'!$A$1:$F$505,5,FALSE)</f>
        <v>18014</v>
      </c>
      <c r="H162" s="9">
        <f>VLOOKUP(A162,'Лист2'!$A$1:$F$505,6,FALSE)</f>
        <v>16675</v>
      </c>
      <c r="I162" s="10">
        <f t="shared" si="2"/>
        <v>270111.912</v>
      </c>
      <c r="J162" s="10">
        <f t="shared" si="3"/>
        <v>19</v>
      </c>
    </row>
    <row r="163" ht="14.25" customHeight="1">
      <c r="A163" s="6" t="str">
        <f t="shared" si="1"/>
        <v>2020-05-24|Санкт-Петербург Север</v>
      </c>
      <c r="B163" s="11">
        <v>43975.0</v>
      </c>
      <c r="C163" s="12" t="s">
        <v>16</v>
      </c>
      <c r="D163" s="12">
        <v>375744.0</v>
      </c>
      <c r="E163" s="12">
        <v>3.81913815E7</v>
      </c>
      <c r="F163" s="9">
        <f>VLOOKUP(A163,'Лист2'!$A$1:$F$505,4,FALSE)</f>
        <v>125</v>
      </c>
      <c r="G163" s="9">
        <f>VLOOKUP(A163,'Лист2'!$A$1:$F$505,5,FALSE)</f>
        <v>21004</v>
      </c>
      <c r="H163" s="9">
        <f>VLOOKUP(A163,'Лист2'!$A$1:$F$505,6,FALSE)</f>
        <v>19556</v>
      </c>
      <c r="I163" s="10">
        <f t="shared" si="2"/>
        <v>305531.052</v>
      </c>
      <c r="J163" s="10">
        <f t="shared" si="3"/>
        <v>21</v>
      </c>
    </row>
    <row r="164" ht="14.25" customHeight="1">
      <c r="A164" s="6" t="str">
        <f t="shared" si="1"/>
        <v>2020-05-16|Волгоград</v>
      </c>
      <c r="B164" s="7">
        <v>43967.0</v>
      </c>
      <c r="C164" s="8" t="s">
        <v>17</v>
      </c>
      <c r="D164" s="8">
        <v>81331.5</v>
      </c>
      <c r="E164" s="8">
        <v>6652179.0</v>
      </c>
      <c r="F164" s="9">
        <f>VLOOKUP(A164,'Лист2'!$A$1:$F$505,4,FALSE)</f>
        <v>36</v>
      </c>
      <c r="G164" s="9">
        <f>VLOOKUP(A164,'Лист2'!$A$1:$F$505,5,FALSE)</f>
        <v>5286</v>
      </c>
      <c r="H164" s="9">
        <f>VLOOKUP(A164,'Лист2'!$A$1:$F$505,6,FALSE)</f>
        <v>4867</v>
      </c>
      <c r="I164" s="10">
        <f t="shared" si="2"/>
        <v>184782.75</v>
      </c>
      <c r="J164" s="10">
        <f t="shared" si="3"/>
        <v>20</v>
      </c>
    </row>
    <row r="165" ht="14.25" customHeight="1">
      <c r="A165" s="6" t="str">
        <f t="shared" si="1"/>
        <v>2020-05-19|Волгоград</v>
      </c>
      <c r="B165" s="11">
        <v>43970.0</v>
      </c>
      <c r="C165" s="12" t="s">
        <v>17</v>
      </c>
      <c r="D165" s="12">
        <v>75796.5</v>
      </c>
      <c r="E165" s="12">
        <v>6173463.0</v>
      </c>
      <c r="F165" s="9">
        <f>VLOOKUP(A165,'Лист2'!$A$1:$F$505,4,FALSE)</f>
        <v>36</v>
      </c>
      <c r="G165" s="9">
        <f>VLOOKUP(A165,'Лист2'!$A$1:$F$505,5,FALSE)</f>
        <v>5094</v>
      </c>
      <c r="H165" s="9">
        <f>VLOOKUP(A165,'Лист2'!$A$1:$F$505,6,FALSE)</f>
        <v>4716</v>
      </c>
      <c r="I165" s="10">
        <f t="shared" si="2"/>
        <v>171485.0833</v>
      </c>
      <c r="J165" s="10">
        <f t="shared" si="3"/>
        <v>21</v>
      </c>
    </row>
    <row r="166" ht="14.25" customHeight="1">
      <c r="A166" s="6" t="str">
        <f t="shared" si="1"/>
        <v>2020-05-17|Волгоград</v>
      </c>
      <c r="B166" s="7">
        <v>43968.0</v>
      </c>
      <c r="C166" s="8" t="s">
        <v>17</v>
      </c>
      <c r="D166" s="8">
        <v>72861.0</v>
      </c>
      <c r="E166" s="8">
        <v>5952802.5</v>
      </c>
      <c r="F166" s="9">
        <f>VLOOKUP(A166,'Лист2'!$A$1:$F$505,4,FALSE)</f>
        <v>36</v>
      </c>
      <c r="G166" s="9">
        <f>VLOOKUP(A166,'Лист2'!$A$1:$F$505,5,FALSE)</f>
        <v>4918</v>
      </c>
      <c r="H166" s="9">
        <f>VLOOKUP(A166,'Лист2'!$A$1:$F$505,6,FALSE)</f>
        <v>4554</v>
      </c>
      <c r="I166" s="10">
        <f t="shared" si="2"/>
        <v>165355.625</v>
      </c>
      <c r="J166" s="10">
        <f t="shared" si="3"/>
        <v>20</v>
      </c>
    </row>
    <row r="167" ht="14.25" customHeight="1">
      <c r="A167" s="6" t="str">
        <f t="shared" si="1"/>
        <v>2020-05-09|Волгоград</v>
      </c>
      <c r="B167" s="11">
        <v>43960.0</v>
      </c>
      <c r="C167" s="12" t="s">
        <v>17</v>
      </c>
      <c r="D167" s="12">
        <v>83373.0</v>
      </c>
      <c r="E167" s="12">
        <v>7253427.0</v>
      </c>
      <c r="F167" s="9">
        <f>VLOOKUP(A167,'Лист2'!$A$1:$F$505,4,FALSE)</f>
        <v>36</v>
      </c>
      <c r="G167" s="9">
        <f>VLOOKUP(A167,'Лист2'!$A$1:$F$505,5,FALSE)</f>
        <v>5413</v>
      </c>
      <c r="H167" s="9">
        <f>VLOOKUP(A167,'Лист2'!$A$1:$F$505,6,FALSE)</f>
        <v>4959</v>
      </c>
      <c r="I167" s="10">
        <f t="shared" si="2"/>
        <v>201484.0833</v>
      </c>
      <c r="J167" s="10">
        <f t="shared" si="3"/>
        <v>19</v>
      </c>
    </row>
    <row r="168" ht="14.25" customHeight="1">
      <c r="A168" s="6" t="str">
        <f t="shared" si="1"/>
        <v>2020-05-04|Волгоград</v>
      </c>
      <c r="B168" s="7">
        <v>43955.0</v>
      </c>
      <c r="C168" s="8" t="s">
        <v>17</v>
      </c>
      <c r="D168" s="8">
        <v>64108.5</v>
      </c>
      <c r="E168" s="8">
        <v>5561452.5</v>
      </c>
      <c r="F168" s="9">
        <f>VLOOKUP(A168,'Лист2'!$A$1:$F$505,4,FALSE)</f>
        <v>36</v>
      </c>
      <c r="G168" s="9">
        <f>VLOOKUP(A168,'Лист2'!$A$1:$F$505,5,FALSE)</f>
        <v>4508</v>
      </c>
      <c r="H168" s="9">
        <f>VLOOKUP(A168,'Лист2'!$A$1:$F$505,6,FALSE)</f>
        <v>4149</v>
      </c>
      <c r="I168" s="10">
        <f t="shared" si="2"/>
        <v>154484.7917</v>
      </c>
      <c r="J168" s="10">
        <f t="shared" si="3"/>
        <v>19</v>
      </c>
    </row>
    <row r="169" ht="14.25" customHeight="1">
      <c r="A169" s="6" t="str">
        <f t="shared" si="1"/>
        <v>2020-04-29|Волгоград</v>
      </c>
      <c r="B169" s="11">
        <v>43950.0</v>
      </c>
      <c r="C169" s="12" t="s">
        <v>17</v>
      </c>
      <c r="D169" s="12">
        <v>74707.5</v>
      </c>
      <c r="E169" s="12">
        <v>6454458.0</v>
      </c>
      <c r="F169" s="9">
        <f>VLOOKUP(A169,'Лист2'!$A$1:$F$505,4,FALSE)</f>
        <v>36</v>
      </c>
      <c r="G169" s="9">
        <f>VLOOKUP(A169,'Лист2'!$A$1:$F$505,5,FALSE)</f>
        <v>4937</v>
      </c>
      <c r="H169" s="9">
        <f>VLOOKUP(A169,'Лист2'!$A$1:$F$505,6,FALSE)</f>
        <v>4561</v>
      </c>
      <c r="I169" s="10">
        <f t="shared" si="2"/>
        <v>179290.5</v>
      </c>
      <c r="J169" s="10">
        <f t="shared" si="3"/>
        <v>18</v>
      </c>
    </row>
    <row r="170" ht="14.25" customHeight="1">
      <c r="A170" s="6" t="str">
        <f t="shared" si="1"/>
        <v>2020-05-02|Волгоград</v>
      </c>
      <c r="B170" s="7">
        <v>43953.0</v>
      </c>
      <c r="C170" s="8" t="s">
        <v>17</v>
      </c>
      <c r="D170" s="8">
        <v>46216.5</v>
      </c>
      <c r="E170" s="8">
        <v>4118251.5</v>
      </c>
      <c r="F170" s="9">
        <f>VLOOKUP(A170,'Лист2'!$A$1:$F$505,4,FALSE)</f>
        <v>36</v>
      </c>
      <c r="G170" s="9">
        <f>VLOOKUP(A170,'Лист2'!$A$1:$F$505,5,FALSE)</f>
        <v>3442</v>
      </c>
      <c r="H170" s="9">
        <f>VLOOKUP(A170,'Лист2'!$A$1:$F$505,6,FALSE)</f>
        <v>3147</v>
      </c>
      <c r="I170" s="10">
        <f t="shared" si="2"/>
        <v>114395.875</v>
      </c>
      <c r="J170" s="10">
        <f t="shared" si="3"/>
        <v>18</v>
      </c>
    </row>
    <row r="171" ht="14.25" customHeight="1">
      <c r="A171" s="6" t="str">
        <f t="shared" si="1"/>
        <v>2020-05-26|Волгоград</v>
      </c>
      <c r="B171" s="11">
        <v>43977.0</v>
      </c>
      <c r="C171" s="12" t="s">
        <v>17</v>
      </c>
      <c r="D171" s="12">
        <v>67726.5</v>
      </c>
      <c r="E171" s="12">
        <v>5864989.5</v>
      </c>
      <c r="F171" s="9">
        <f>VLOOKUP(A171,'Лист2'!$A$1:$F$505,4,FALSE)</f>
        <v>36</v>
      </c>
      <c r="G171" s="9">
        <f>VLOOKUP(A171,'Лист2'!$A$1:$F$505,5,FALSE)</f>
        <v>4770</v>
      </c>
      <c r="H171" s="9">
        <f>VLOOKUP(A171,'Лист2'!$A$1:$F$505,6,FALSE)</f>
        <v>4424</v>
      </c>
      <c r="I171" s="10">
        <f t="shared" si="2"/>
        <v>162916.375</v>
      </c>
      <c r="J171" s="10">
        <f t="shared" si="3"/>
        <v>22</v>
      </c>
    </row>
    <row r="172" ht="14.25" customHeight="1">
      <c r="A172" s="6" t="str">
        <f t="shared" si="1"/>
        <v>2020-05-01|Волгоград</v>
      </c>
      <c r="B172" s="7">
        <v>43952.0</v>
      </c>
      <c r="C172" s="8" t="s">
        <v>17</v>
      </c>
      <c r="D172" s="8">
        <v>82228.5</v>
      </c>
      <c r="E172" s="8">
        <v>7032225.0</v>
      </c>
      <c r="F172" s="9">
        <f>VLOOKUP(A172,'Лист2'!$A$1:$F$505,4,FALSE)</f>
        <v>36</v>
      </c>
      <c r="G172" s="9">
        <f>VLOOKUP(A172,'Лист2'!$A$1:$F$505,5,FALSE)</f>
        <v>5457</v>
      </c>
      <c r="H172" s="9">
        <f>VLOOKUP(A172,'Лист2'!$A$1:$F$505,6,FALSE)</f>
        <v>4916</v>
      </c>
      <c r="I172" s="10">
        <f t="shared" si="2"/>
        <v>195339.5833</v>
      </c>
      <c r="J172" s="10">
        <f t="shared" si="3"/>
        <v>18</v>
      </c>
    </row>
    <row r="173" ht="14.25" customHeight="1">
      <c r="A173" s="6" t="str">
        <f t="shared" si="1"/>
        <v>2020-05-12|Волгоград</v>
      </c>
      <c r="B173" s="11">
        <v>43963.0</v>
      </c>
      <c r="C173" s="12" t="s">
        <v>17</v>
      </c>
      <c r="D173" s="12">
        <v>64390.5</v>
      </c>
      <c r="E173" s="12">
        <v>5523145.5</v>
      </c>
      <c r="F173" s="9">
        <f>VLOOKUP(A173,'Лист2'!$A$1:$F$505,4,FALSE)</f>
        <v>36</v>
      </c>
      <c r="G173" s="9">
        <f>VLOOKUP(A173,'Лист2'!$A$1:$F$505,5,FALSE)</f>
        <v>4418</v>
      </c>
      <c r="H173" s="9">
        <f>VLOOKUP(A173,'Лист2'!$A$1:$F$505,6,FALSE)</f>
        <v>4088</v>
      </c>
      <c r="I173" s="10">
        <f t="shared" si="2"/>
        <v>153420.7083</v>
      </c>
      <c r="J173" s="10">
        <f t="shared" si="3"/>
        <v>20</v>
      </c>
    </row>
    <row r="174" ht="14.25" customHeight="1">
      <c r="A174" s="6" t="str">
        <f t="shared" si="1"/>
        <v>2020-05-21|Волгоград</v>
      </c>
      <c r="B174" s="7">
        <v>43972.0</v>
      </c>
      <c r="C174" s="8" t="s">
        <v>17</v>
      </c>
      <c r="D174" s="8">
        <v>73126.5</v>
      </c>
      <c r="E174" s="8">
        <v>5864085.0</v>
      </c>
      <c r="F174" s="9">
        <f>VLOOKUP(A174,'Лист2'!$A$1:$F$505,4,FALSE)</f>
        <v>36</v>
      </c>
      <c r="G174" s="9">
        <f>VLOOKUP(A174,'Лист2'!$A$1:$F$505,5,FALSE)</f>
        <v>4816</v>
      </c>
      <c r="H174" s="9">
        <f>VLOOKUP(A174,'Лист2'!$A$1:$F$505,6,FALSE)</f>
        <v>4452</v>
      </c>
      <c r="I174" s="10">
        <f t="shared" si="2"/>
        <v>162891.25</v>
      </c>
      <c r="J174" s="10">
        <f t="shared" si="3"/>
        <v>21</v>
      </c>
    </row>
    <row r="175" ht="14.25" customHeight="1">
      <c r="A175" s="6" t="str">
        <f t="shared" si="1"/>
        <v>2020-05-20|Волгоград</v>
      </c>
      <c r="B175" s="11">
        <v>43971.0</v>
      </c>
      <c r="C175" s="12" t="s">
        <v>17</v>
      </c>
      <c r="D175" s="12">
        <v>99631.5</v>
      </c>
      <c r="E175" s="12">
        <v>7121946.0</v>
      </c>
      <c r="F175" s="9">
        <f>VLOOKUP(A175,'Лист2'!$A$1:$F$505,4,FALSE)</f>
        <v>36</v>
      </c>
      <c r="G175" s="9">
        <f>VLOOKUP(A175,'Лист2'!$A$1:$F$505,5,FALSE)</f>
        <v>5914</v>
      </c>
      <c r="H175" s="9">
        <f>VLOOKUP(A175,'Лист2'!$A$1:$F$505,6,FALSE)</f>
        <v>5384</v>
      </c>
      <c r="I175" s="10">
        <f t="shared" si="2"/>
        <v>197831.8333</v>
      </c>
      <c r="J175" s="10">
        <f t="shared" si="3"/>
        <v>21</v>
      </c>
    </row>
    <row r="176" ht="14.25" customHeight="1">
      <c r="A176" s="6" t="str">
        <f t="shared" si="1"/>
        <v>2020-05-05|Волгоград</v>
      </c>
      <c r="B176" s="7">
        <v>43956.0</v>
      </c>
      <c r="C176" s="8" t="s">
        <v>17</v>
      </c>
      <c r="D176" s="8">
        <v>66396.0</v>
      </c>
      <c r="E176" s="8">
        <v>5770539.0</v>
      </c>
      <c r="F176" s="9">
        <f>VLOOKUP(A176,'Лист2'!$A$1:$F$505,4,FALSE)</f>
        <v>36</v>
      </c>
      <c r="G176" s="9">
        <f>VLOOKUP(A176,'Лист2'!$A$1:$F$505,5,FALSE)</f>
        <v>4575</v>
      </c>
      <c r="H176" s="9">
        <f>VLOOKUP(A176,'Лист2'!$A$1:$F$505,6,FALSE)</f>
        <v>4206</v>
      </c>
      <c r="I176" s="10">
        <f t="shared" si="2"/>
        <v>160292.75</v>
      </c>
      <c r="J176" s="10">
        <f t="shared" si="3"/>
        <v>19</v>
      </c>
    </row>
    <row r="177" ht="14.25" customHeight="1">
      <c r="A177" s="6" t="str">
        <f t="shared" si="1"/>
        <v>2020-04-28|Волгоград</v>
      </c>
      <c r="B177" s="11">
        <v>43949.0</v>
      </c>
      <c r="C177" s="12" t="s">
        <v>17</v>
      </c>
      <c r="D177" s="12">
        <v>73147.5</v>
      </c>
      <c r="E177" s="12">
        <v>6288246.0</v>
      </c>
      <c r="F177" s="9">
        <f>VLOOKUP(A177,'Лист2'!$A$1:$F$505,4,FALSE)</f>
        <v>36</v>
      </c>
      <c r="G177" s="9">
        <f>VLOOKUP(A177,'Лист2'!$A$1:$F$505,5,FALSE)</f>
        <v>4923</v>
      </c>
      <c r="H177" s="9">
        <f>VLOOKUP(A177,'Лист2'!$A$1:$F$505,6,FALSE)</f>
        <v>4560</v>
      </c>
      <c r="I177" s="10">
        <f t="shared" si="2"/>
        <v>174673.5</v>
      </c>
      <c r="J177" s="10">
        <f t="shared" si="3"/>
        <v>18</v>
      </c>
    </row>
    <row r="178" ht="14.25" customHeight="1">
      <c r="A178" s="6" t="str">
        <f t="shared" si="1"/>
        <v>2020-05-13|Волгоград</v>
      </c>
      <c r="B178" s="7">
        <v>43964.0</v>
      </c>
      <c r="C178" s="8" t="s">
        <v>17</v>
      </c>
      <c r="D178" s="8">
        <v>73062.0</v>
      </c>
      <c r="E178" s="8">
        <v>6333828.0</v>
      </c>
      <c r="F178" s="9">
        <f>VLOOKUP(A178,'Лист2'!$A$1:$F$505,4,FALSE)</f>
        <v>36</v>
      </c>
      <c r="G178" s="9">
        <f>VLOOKUP(A178,'Лист2'!$A$1:$F$505,5,FALSE)</f>
        <v>4967</v>
      </c>
      <c r="H178" s="9">
        <f>VLOOKUP(A178,'Лист2'!$A$1:$F$505,6,FALSE)</f>
        <v>4583</v>
      </c>
      <c r="I178" s="10">
        <f t="shared" si="2"/>
        <v>175939.6667</v>
      </c>
      <c r="J178" s="10">
        <f t="shared" si="3"/>
        <v>20</v>
      </c>
    </row>
    <row r="179" ht="14.25" customHeight="1">
      <c r="A179" s="6" t="str">
        <f t="shared" si="1"/>
        <v>2020-05-31|Санкт-Петербург Север</v>
      </c>
      <c r="B179" s="11">
        <v>43982.0</v>
      </c>
      <c r="C179" s="12" t="s">
        <v>16</v>
      </c>
      <c r="D179" s="12">
        <v>379663.5</v>
      </c>
      <c r="E179" s="12">
        <v>3.9380178E7</v>
      </c>
      <c r="F179" s="9">
        <f>VLOOKUP(A179,'Лист2'!$A$1:$F$505,4,FALSE)</f>
        <v>124</v>
      </c>
      <c r="G179" s="9">
        <f>VLOOKUP(A179,'Лист2'!$A$1:$F$505,5,FALSE)</f>
        <v>21392</v>
      </c>
      <c r="H179" s="9">
        <f>VLOOKUP(A179,'Лист2'!$A$1:$F$505,6,FALSE)</f>
        <v>19869</v>
      </c>
      <c r="I179" s="10">
        <f t="shared" si="2"/>
        <v>317582.0806</v>
      </c>
      <c r="J179" s="10">
        <f t="shared" si="3"/>
        <v>22</v>
      </c>
    </row>
    <row r="180" ht="14.25" customHeight="1">
      <c r="A180" s="6" t="str">
        <f t="shared" si="1"/>
        <v>2020-05-03|Волгоград</v>
      </c>
      <c r="B180" s="7">
        <v>43954.0</v>
      </c>
      <c r="C180" s="8" t="s">
        <v>17</v>
      </c>
      <c r="D180" s="8">
        <v>70581.0</v>
      </c>
      <c r="E180" s="8">
        <v>6221320.5</v>
      </c>
      <c r="F180" s="9">
        <f>VLOOKUP(A180,'Лист2'!$A$1:$F$505,4,FALSE)</f>
        <v>36</v>
      </c>
      <c r="G180" s="9">
        <f>VLOOKUP(A180,'Лист2'!$A$1:$F$505,5,FALSE)</f>
        <v>4751</v>
      </c>
      <c r="H180" s="9">
        <f>VLOOKUP(A180,'Лист2'!$A$1:$F$505,6,FALSE)</f>
        <v>4370</v>
      </c>
      <c r="I180" s="10">
        <f t="shared" si="2"/>
        <v>172814.4583</v>
      </c>
      <c r="J180" s="10">
        <f t="shared" si="3"/>
        <v>18</v>
      </c>
    </row>
    <row r="181" ht="14.25" customHeight="1">
      <c r="A181" s="6" t="str">
        <f t="shared" si="1"/>
        <v>2020-05-30|Санкт-Петербург Север</v>
      </c>
      <c r="B181" s="11">
        <v>43981.0</v>
      </c>
      <c r="C181" s="12" t="s">
        <v>16</v>
      </c>
      <c r="D181" s="12">
        <v>453123.0</v>
      </c>
      <c r="E181" s="12">
        <v>4.6370904E7</v>
      </c>
      <c r="F181" s="9">
        <f>VLOOKUP(A181,'Лист2'!$A$1:$F$505,4,FALSE)</f>
        <v>124</v>
      </c>
      <c r="G181" s="9">
        <f>VLOOKUP(A181,'Лист2'!$A$1:$F$505,5,FALSE)</f>
        <v>24325</v>
      </c>
      <c r="H181" s="9">
        <f>VLOOKUP(A181,'Лист2'!$A$1:$F$505,6,FALSE)</f>
        <v>22469</v>
      </c>
      <c r="I181" s="10">
        <f t="shared" si="2"/>
        <v>373958.9032</v>
      </c>
      <c r="J181" s="10">
        <f t="shared" si="3"/>
        <v>22</v>
      </c>
    </row>
    <row r="182" ht="14.25" customHeight="1">
      <c r="A182" s="6" t="str">
        <f t="shared" si="1"/>
        <v>2020-05-06|Волгоград</v>
      </c>
      <c r="B182" s="7">
        <v>43957.0</v>
      </c>
      <c r="C182" s="8" t="s">
        <v>17</v>
      </c>
      <c r="D182" s="8">
        <v>63012.0</v>
      </c>
      <c r="E182" s="8">
        <v>5454121.5</v>
      </c>
      <c r="F182" s="9">
        <f>VLOOKUP(A182,'Лист2'!$A$1:$F$505,4,FALSE)</f>
        <v>36</v>
      </c>
      <c r="G182" s="9">
        <f>VLOOKUP(A182,'Лист2'!$A$1:$F$505,5,FALSE)</f>
        <v>4384</v>
      </c>
      <c r="H182" s="9">
        <f>VLOOKUP(A182,'Лист2'!$A$1:$F$505,6,FALSE)</f>
        <v>4025</v>
      </c>
      <c r="I182" s="10">
        <f t="shared" si="2"/>
        <v>151503.375</v>
      </c>
      <c r="J182" s="10">
        <f t="shared" si="3"/>
        <v>19</v>
      </c>
    </row>
    <row r="183" ht="14.25" customHeight="1">
      <c r="A183" s="6" t="str">
        <f t="shared" si="1"/>
        <v>2020-05-23|Волгоград</v>
      </c>
      <c r="B183" s="11">
        <v>43974.0</v>
      </c>
      <c r="C183" s="12" t="s">
        <v>17</v>
      </c>
      <c r="D183" s="12">
        <v>89556.0</v>
      </c>
      <c r="E183" s="12">
        <v>7173117.0</v>
      </c>
      <c r="F183" s="9">
        <f>VLOOKUP(A183,'Лист2'!$A$1:$F$505,4,FALSE)</f>
        <v>36</v>
      </c>
      <c r="G183" s="9">
        <f>VLOOKUP(A183,'Лист2'!$A$1:$F$505,5,FALSE)</f>
        <v>5651</v>
      </c>
      <c r="H183" s="9">
        <f>VLOOKUP(A183,'Лист2'!$A$1:$F$505,6,FALSE)</f>
        <v>5212</v>
      </c>
      <c r="I183" s="10">
        <f t="shared" si="2"/>
        <v>199253.25</v>
      </c>
      <c r="J183" s="10">
        <f t="shared" si="3"/>
        <v>21</v>
      </c>
    </row>
    <row r="184" ht="14.25" customHeight="1">
      <c r="A184" s="6" t="str">
        <f t="shared" si="1"/>
        <v>2020-05-28|Санкт-Петербург Север</v>
      </c>
      <c r="B184" s="7">
        <v>43979.0</v>
      </c>
      <c r="C184" s="8" t="s">
        <v>16</v>
      </c>
      <c r="D184" s="8">
        <v>364638.0</v>
      </c>
      <c r="E184" s="8">
        <v>3.79476885E7</v>
      </c>
      <c r="F184" s="9">
        <f>VLOOKUP(A184,'Лист2'!$A$1:$F$505,4,FALSE)</f>
        <v>124</v>
      </c>
      <c r="G184" s="9">
        <f>VLOOKUP(A184,'Лист2'!$A$1:$F$505,5,FALSE)</f>
        <v>20868</v>
      </c>
      <c r="H184" s="9">
        <f>VLOOKUP(A184,'Лист2'!$A$1:$F$505,6,FALSE)</f>
        <v>19342</v>
      </c>
      <c r="I184" s="10">
        <f t="shared" si="2"/>
        <v>306029.746</v>
      </c>
      <c r="J184" s="10">
        <f t="shared" si="3"/>
        <v>22</v>
      </c>
    </row>
    <row r="185" ht="14.25" customHeight="1">
      <c r="A185" s="6" t="str">
        <f t="shared" si="1"/>
        <v>2020-05-25|Волгоград</v>
      </c>
      <c r="B185" s="11">
        <v>43976.0</v>
      </c>
      <c r="C185" s="12" t="s">
        <v>17</v>
      </c>
      <c r="D185" s="12">
        <v>66316.5</v>
      </c>
      <c r="E185" s="12">
        <v>5704650.0</v>
      </c>
      <c r="F185" s="9">
        <f>VLOOKUP(A185,'Лист2'!$A$1:$F$505,4,FALSE)</f>
        <v>36</v>
      </c>
      <c r="G185" s="9">
        <f>VLOOKUP(A185,'Лист2'!$A$1:$F$505,5,FALSE)</f>
        <v>4641</v>
      </c>
      <c r="H185" s="9">
        <f>VLOOKUP(A185,'Лист2'!$A$1:$F$505,6,FALSE)</f>
        <v>4274</v>
      </c>
      <c r="I185" s="10">
        <f t="shared" si="2"/>
        <v>158462.5</v>
      </c>
      <c r="J185" s="10">
        <f t="shared" si="3"/>
        <v>22</v>
      </c>
    </row>
    <row r="186" ht="14.25" customHeight="1">
      <c r="A186" s="6" t="str">
        <f t="shared" si="1"/>
        <v>2020-04-30|Волгоград</v>
      </c>
      <c r="B186" s="7">
        <v>43951.0</v>
      </c>
      <c r="C186" s="8" t="s">
        <v>17</v>
      </c>
      <c r="D186" s="8">
        <v>78235.5</v>
      </c>
      <c r="E186" s="8">
        <v>6819594.0</v>
      </c>
      <c r="F186" s="9">
        <f>VLOOKUP(A186,'Лист2'!$A$1:$F$505,4,FALSE)</f>
        <v>36</v>
      </c>
      <c r="G186" s="9">
        <f>VLOOKUP(A186,'Лист2'!$A$1:$F$505,5,FALSE)</f>
        <v>5143</v>
      </c>
      <c r="H186" s="9">
        <f>VLOOKUP(A186,'Лист2'!$A$1:$F$505,6,FALSE)</f>
        <v>4715</v>
      </c>
      <c r="I186" s="10">
        <f t="shared" si="2"/>
        <v>189433.1667</v>
      </c>
      <c r="J186" s="10">
        <f t="shared" si="3"/>
        <v>18</v>
      </c>
    </row>
    <row r="187" ht="14.25" customHeight="1">
      <c r="A187" s="6" t="str">
        <f t="shared" si="1"/>
        <v>2020-05-10|Волгоград</v>
      </c>
      <c r="B187" s="11">
        <v>43961.0</v>
      </c>
      <c r="C187" s="12" t="s">
        <v>17</v>
      </c>
      <c r="D187" s="12">
        <v>88311.0</v>
      </c>
      <c r="E187" s="12">
        <v>7726069.5</v>
      </c>
      <c r="F187" s="9">
        <f>VLOOKUP(A187,'Лист2'!$A$1:$F$505,4,FALSE)</f>
        <v>36</v>
      </c>
      <c r="G187" s="9">
        <f>VLOOKUP(A187,'Лист2'!$A$1:$F$505,5,FALSE)</f>
        <v>5746</v>
      </c>
      <c r="H187" s="9">
        <f>VLOOKUP(A187,'Лист2'!$A$1:$F$505,6,FALSE)</f>
        <v>5277</v>
      </c>
      <c r="I187" s="10">
        <f t="shared" si="2"/>
        <v>214613.0417</v>
      </c>
      <c r="J187" s="10">
        <f t="shared" si="3"/>
        <v>19</v>
      </c>
    </row>
    <row r="188" ht="14.25" customHeight="1">
      <c r="A188" s="6" t="str">
        <f t="shared" si="1"/>
        <v>2020-05-08|Волгоград</v>
      </c>
      <c r="B188" s="7">
        <v>43959.0</v>
      </c>
      <c r="C188" s="8" t="s">
        <v>17</v>
      </c>
      <c r="D188" s="8">
        <v>61804.5</v>
      </c>
      <c r="E188" s="8">
        <v>5365708.5</v>
      </c>
      <c r="F188" s="9">
        <f>VLOOKUP(A188,'Лист2'!$A$1:$F$505,4,FALSE)</f>
        <v>36</v>
      </c>
      <c r="G188" s="9">
        <f>VLOOKUP(A188,'Лист2'!$A$1:$F$505,5,FALSE)</f>
        <v>4199</v>
      </c>
      <c r="H188" s="9">
        <f>VLOOKUP(A188,'Лист2'!$A$1:$F$505,6,FALSE)</f>
        <v>3867</v>
      </c>
      <c r="I188" s="10">
        <f t="shared" si="2"/>
        <v>149047.4583</v>
      </c>
      <c r="J188" s="10">
        <f t="shared" si="3"/>
        <v>19</v>
      </c>
    </row>
    <row r="189" ht="14.25" customHeight="1">
      <c r="A189" s="6" t="str">
        <f t="shared" si="1"/>
        <v>2020-05-07|Волгоград</v>
      </c>
      <c r="B189" s="11">
        <v>43958.0</v>
      </c>
      <c r="C189" s="12" t="s">
        <v>17</v>
      </c>
      <c r="D189" s="12">
        <v>71067.0</v>
      </c>
      <c r="E189" s="12">
        <v>6175837.5</v>
      </c>
      <c r="F189" s="9">
        <f>VLOOKUP(A189,'Лист2'!$A$1:$F$505,4,FALSE)</f>
        <v>36</v>
      </c>
      <c r="G189" s="9">
        <f>VLOOKUP(A189,'Лист2'!$A$1:$F$505,5,FALSE)</f>
        <v>4826</v>
      </c>
      <c r="H189" s="9">
        <f>VLOOKUP(A189,'Лист2'!$A$1:$F$505,6,FALSE)</f>
        <v>4426</v>
      </c>
      <c r="I189" s="10">
        <f t="shared" si="2"/>
        <v>171551.0417</v>
      </c>
      <c r="J189" s="10">
        <f t="shared" si="3"/>
        <v>19</v>
      </c>
    </row>
    <row r="190" ht="14.25" customHeight="1">
      <c r="A190" s="6" t="str">
        <f t="shared" si="1"/>
        <v>2020-05-24|Волгоград</v>
      </c>
      <c r="B190" s="7">
        <v>43975.0</v>
      </c>
      <c r="C190" s="8" t="s">
        <v>17</v>
      </c>
      <c r="D190" s="8">
        <v>74649.0</v>
      </c>
      <c r="E190" s="8">
        <v>6098236.5</v>
      </c>
      <c r="F190" s="9">
        <f>VLOOKUP(A190,'Лист2'!$A$1:$F$505,4,FALSE)</f>
        <v>36</v>
      </c>
      <c r="G190" s="9">
        <f>VLOOKUP(A190,'Лист2'!$A$1:$F$505,5,FALSE)</f>
        <v>4915</v>
      </c>
      <c r="H190" s="9">
        <f>VLOOKUP(A190,'Лист2'!$A$1:$F$505,6,FALSE)</f>
        <v>4562</v>
      </c>
      <c r="I190" s="10">
        <f t="shared" si="2"/>
        <v>169395.4583</v>
      </c>
      <c r="J190" s="10">
        <f t="shared" si="3"/>
        <v>21</v>
      </c>
    </row>
    <row r="191" ht="14.25" customHeight="1">
      <c r="A191" s="6" t="str">
        <f t="shared" si="1"/>
        <v>2020-05-16|Казань</v>
      </c>
      <c r="B191" s="11">
        <v>43967.0</v>
      </c>
      <c r="C191" s="12" t="s">
        <v>18</v>
      </c>
      <c r="D191" s="12">
        <v>44560.5</v>
      </c>
      <c r="E191" s="12">
        <v>4025148.0</v>
      </c>
      <c r="F191" s="9">
        <f>VLOOKUP(A191,'Лист2'!$A$1:$F$505,4,FALSE)</f>
        <v>21</v>
      </c>
      <c r="G191" s="9">
        <f>VLOOKUP(A191,'Лист2'!$A$1:$F$505,5,FALSE)</f>
        <v>2427</v>
      </c>
      <c r="H191" s="9">
        <f>VLOOKUP(A191,'Лист2'!$A$1:$F$505,6,FALSE)</f>
        <v>2213</v>
      </c>
      <c r="I191" s="10">
        <f t="shared" si="2"/>
        <v>191673.7143</v>
      </c>
      <c r="J191" s="10">
        <f t="shared" si="3"/>
        <v>20</v>
      </c>
    </row>
    <row r="192" ht="14.25" customHeight="1">
      <c r="A192" s="6" t="str">
        <f t="shared" si="1"/>
        <v>2020-05-19|Казань</v>
      </c>
      <c r="B192" s="7">
        <v>43970.0</v>
      </c>
      <c r="C192" s="8" t="s">
        <v>18</v>
      </c>
      <c r="D192" s="8">
        <v>38250.0</v>
      </c>
      <c r="E192" s="8">
        <v>3552937.5</v>
      </c>
      <c r="F192" s="9">
        <f>VLOOKUP(A192,'Лист2'!$A$1:$F$505,4,FALSE)</f>
        <v>21</v>
      </c>
      <c r="G192" s="9">
        <f>VLOOKUP(A192,'Лист2'!$A$1:$F$505,5,FALSE)</f>
        <v>2245</v>
      </c>
      <c r="H192" s="9">
        <f>VLOOKUP(A192,'Лист2'!$A$1:$F$505,6,FALSE)</f>
        <v>2053</v>
      </c>
      <c r="I192" s="10">
        <f t="shared" si="2"/>
        <v>169187.5</v>
      </c>
      <c r="J192" s="10">
        <f t="shared" si="3"/>
        <v>21</v>
      </c>
    </row>
    <row r="193" ht="14.25" customHeight="1">
      <c r="A193" s="6" t="str">
        <f t="shared" si="1"/>
        <v>2020-05-17|Казань</v>
      </c>
      <c r="B193" s="11">
        <v>43968.0</v>
      </c>
      <c r="C193" s="12" t="s">
        <v>18</v>
      </c>
      <c r="D193" s="12">
        <v>34830.0</v>
      </c>
      <c r="E193" s="12">
        <v>3191155.5</v>
      </c>
      <c r="F193" s="9">
        <f>VLOOKUP(A193,'Лист2'!$A$1:$F$505,4,FALSE)</f>
        <v>21</v>
      </c>
      <c r="G193" s="9">
        <f>VLOOKUP(A193,'Лист2'!$A$1:$F$505,5,FALSE)</f>
        <v>2054</v>
      </c>
      <c r="H193" s="9">
        <f>VLOOKUP(A193,'Лист2'!$A$1:$F$505,6,FALSE)</f>
        <v>1883</v>
      </c>
      <c r="I193" s="10">
        <f t="shared" si="2"/>
        <v>151959.7857</v>
      </c>
      <c r="J193" s="10">
        <f t="shared" si="3"/>
        <v>20</v>
      </c>
    </row>
    <row r="194" ht="14.25" customHeight="1">
      <c r="A194" s="6" t="str">
        <f t="shared" si="1"/>
        <v>2020-05-09|Казань</v>
      </c>
      <c r="B194" s="7">
        <v>43960.0</v>
      </c>
      <c r="C194" s="8" t="s">
        <v>18</v>
      </c>
      <c r="D194" s="8">
        <v>32239.5</v>
      </c>
      <c r="E194" s="8">
        <v>3084892.5</v>
      </c>
      <c r="F194" s="9">
        <f>VLOOKUP(A194,'Лист2'!$A$1:$F$505,4,FALSE)</f>
        <v>21</v>
      </c>
      <c r="G194" s="9">
        <f>VLOOKUP(A194,'Лист2'!$A$1:$F$505,5,FALSE)</f>
        <v>1891</v>
      </c>
      <c r="H194" s="9">
        <f>VLOOKUP(A194,'Лист2'!$A$1:$F$505,6,FALSE)</f>
        <v>1709</v>
      </c>
      <c r="I194" s="10">
        <f t="shared" si="2"/>
        <v>146899.6429</v>
      </c>
      <c r="J194" s="10">
        <f t="shared" si="3"/>
        <v>19</v>
      </c>
    </row>
    <row r="195" ht="14.25" customHeight="1">
      <c r="A195" s="6" t="str">
        <f t="shared" si="1"/>
        <v>2020-05-04|Казань</v>
      </c>
      <c r="B195" s="11">
        <v>43955.0</v>
      </c>
      <c r="C195" s="12" t="s">
        <v>18</v>
      </c>
      <c r="D195" s="12">
        <v>30780.0</v>
      </c>
      <c r="E195" s="12">
        <v>2817853.5</v>
      </c>
      <c r="F195" s="9">
        <f>VLOOKUP(A195,'Лист2'!$A$1:$F$505,4,FALSE)</f>
        <v>20</v>
      </c>
      <c r="G195" s="9">
        <f>VLOOKUP(A195,'Лист2'!$A$1:$F$505,5,FALSE)</f>
        <v>1804</v>
      </c>
      <c r="H195" s="9">
        <f>VLOOKUP(A195,'Лист2'!$A$1:$F$505,6,FALSE)</f>
        <v>1638</v>
      </c>
      <c r="I195" s="10">
        <f t="shared" si="2"/>
        <v>140892.675</v>
      </c>
      <c r="J195" s="10">
        <f t="shared" si="3"/>
        <v>19</v>
      </c>
    </row>
    <row r="196" ht="14.25" customHeight="1">
      <c r="A196" s="6" t="str">
        <f t="shared" si="1"/>
        <v>2020-04-29|Казань</v>
      </c>
      <c r="B196" s="7">
        <v>43950.0</v>
      </c>
      <c r="C196" s="8" t="s">
        <v>18</v>
      </c>
      <c r="D196" s="8">
        <v>29142.0</v>
      </c>
      <c r="E196" s="8">
        <v>2627595.0</v>
      </c>
      <c r="F196" s="9">
        <f>VLOOKUP(A196,'Лист2'!$A$1:$F$505,4,FALSE)</f>
        <v>19</v>
      </c>
      <c r="G196" s="9">
        <f>VLOOKUP(A196,'Лист2'!$A$1:$F$505,5,FALSE)</f>
        <v>1676</v>
      </c>
      <c r="H196" s="9">
        <f>VLOOKUP(A196,'Лист2'!$A$1:$F$505,6,FALSE)</f>
        <v>1516</v>
      </c>
      <c r="I196" s="10">
        <f t="shared" si="2"/>
        <v>138294.4737</v>
      </c>
      <c r="J196" s="10">
        <f t="shared" si="3"/>
        <v>18</v>
      </c>
    </row>
    <row r="197" ht="14.25" customHeight="1">
      <c r="A197" s="6" t="str">
        <f t="shared" si="1"/>
        <v>2020-05-02|Казань</v>
      </c>
      <c r="B197" s="11">
        <v>43953.0</v>
      </c>
      <c r="C197" s="12" t="s">
        <v>18</v>
      </c>
      <c r="D197" s="12">
        <v>26428.5</v>
      </c>
      <c r="E197" s="12">
        <v>2470465.5</v>
      </c>
      <c r="F197" s="9">
        <f>VLOOKUP(A197,'Лист2'!$A$1:$F$505,4,FALSE)</f>
        <v>20</v>
      </c>
      <c r="G197" s="9">
        <f>VLOOKUP(A197,'Лист2'!$A$1:$F$505,5,FALSE)</f>
        <v>1613</v>
      </c>
      <c r="H197" s="9">
        <f>VLOOKUP(A197,'Лист2'!$A$1:$F$505,6,FALSE)</f>
        <v>1457</v>
      </c>
      <c r="I197" s="10">
        <f t="shared" si="2"/>
        <v>123523.275</v>
      </c>
      <c r="J197" s="10">
        <f t="shared" si="3"/>
        <v>18</v>
      </c>
    </row>
    <row r="198" ht="14.25" customHeight="1">
      <c r="A198" s="6" t="str">
        <f t="shared" si="1"/>
        <v>2020-05-26|Казань</v>
      </c>
      <c r="B198" s="7">
        <v>43977.0</v>
      </c>
      <c r="C198" s="8" t="s">
        <v>18</v>
      </c>
      <c r="D198" s="8">
        <v>40744.5</v>
      </c>
      <c r="E198" s="8">
        <v>3700311.0</v>
      </c>
      <c r="F198" s="9">
        <f>VLOOKUP(A198,'Лист2'!$A$1:$F$505,4,FALSE)</f>
        <v>21</v>
      </c>
      <c r="G198" s="9">
        <f>VLOOKUP(A198,'Лист2'!$A$1:$F$505,5,FALSE)</f>
        <v>2418</v>
      </c>
      <c r="H198" s="9">
        <f>VLOOKUP(A198,'Лист2'!$A$1:$F$505,6,FALSE)</f>
        <v>2215</v>
      </c>
      <c r="I198" s="10">
        <f t="shared" si="2"/>
        <v>176205.2857</v>
      </c>
      <c r="J198" s="10">
        <f t="shared" si="3"/>
        <v>22</v>
      </c>
    </row>
    <row r="199" ht="14.25" customHeight="1">
      <c r="A199" s="6" t="str">
        <f t="shared" si="1"/>
        <v>2020-05-01|Казань</v>
      </c>
      <c r="B199" s="11">
        <v>43952.0</v>
      </c>
      <c r="C199" s="12" t="s">
        <v>18</v>
      </c>
      <c r="D199" s="12">
        <v>46620.0</v>
      </c>
      <c r="E199" s="12">
        <v>4293241.5</v>
      </c>
      <c r="F199" s="9">
        <f>VLOOKUP(A199,'Лист2'!$A$1:$F$505,4,FALSE)</f>
        <v>20</v>
      </c>
      <c r="G199" s="9">
        <f>VLOOKUP(A199,'Лист2'!$A$1:$F$505,5,FALSE)</f>
        <v>2468</v>
      </c>
      <c r="H199" s="9">
        <f>VLOOKUP(A199,'Лист2'!$A$1:$F$505,6,FALSE)</f>
        <v>2221</v>
      </c>
      <c r="I199" s="10">
        <f t="shared" si="2"/>
        <v>214662.075</v>
      </c>
      <c r="J199" s="10">
        <f t="shared" si="3"/>
        <v>18</v>
      </c>
    </row>
    <row r="200" ht="14.25" customHeight="1">
      <c r="A200" s="6" t="str">
        <f t="shared" si="1"/>
        <v>2020-05-12|Казань</v>
      </c>
      <c r="B200" s="7">
        <v>43963.0</v>
      </c>
      <c r="C200" s="8" t="s">
        <v>18</v>
      </c>
      <c r="D200" s="8">
        <v>32419.5</v>
      </c>
      <c r="E200" s="8">
        <v>3080614.5</v>
      </c>
      <c r="F200" s="9">
        <f>VLOOKUP(A200,'Лист2'!$A$1:$F$505,4,FALSE)</f>
        <v>21</v>
      </c>
      <c r="G200" s="9">
        <f>VLOOKUP(A200,'Лист2'!$A$1:$F$505,5,FALSE)</f>
        <v>1926</v>
      </c>
      <c r="H200" s="9">
        <f>VLOOKUP(A200,'Лист2'!$A$1:$F$505,6,FALSE)</f>
        <v>1745</v>
      </c>
      <c r="I200" s="10">
        <f t="shared" si="2"/>
        <v>146695.9286</v>
      </c>
      <c r="J200" s="10">
        <f t="shared" si="3"/>
        <v>20</v>
      </c>
    </row>
    <row r="201" ht="14.25" customHeight="1">
      <c r="A201" s="6" t="str">
        <f t="shared" si="1"/>
        <v>2020-05-21|Казань</v>
      </c>
      <c r="B201" s="11">
        <v>43972.0</v>
      </c>
      <c r="C201" s="12" t="s">
        <v>18</v>
      </c>
      <c r="D201" s="12">
        <v>40819.5</v>
      </c>
      <c r="E201" s="12">
        <v>3810394.5</v>
      </c>
      <c r="F201" s="9">
        <f>VLOOKUP(A201,'Лист2'!$A$1:$F$505,4,FALSE)</f>
        <v>21</v>
      </c>
      <c r="G201" s="9">
        <f>VLOOKUP(A201,'Лист2'!$A$1:$F$505,5,FALSE)</f>
        <v>2335</v>
      </c>
      <c r="H201" s="9">
        <f>VLOOKUP(A201,'Лист2'!$A$1:$F$505,6,FALSE)</f>
        <v>2126</v>
      </c>
      <c r="I201" s="10">
        <f t="shared" si="2"/>
        <v>181447.3571</v>
      </c>
      <c r="J201" s="10">
        <f t="shared" si="3"/>
        <v>21</v>
      </c>
    </row>
    <row r="202" ht="14.25" customHeight="1">
      <c r="A202" s="6" t="str">
        <f t="shared" si="1"/>
        <v>2020-05-20|Казань</v>
      </c>
      <c r="B202" s="7">
        <v>43971.0</v>
      </c>
      <c r="C202" s="8" t="s">
        <v>18</v>
      </c>
      <c r="D202" s="8">
        <v>41391.0</v>
      </c>
      <c r="E202" s="8">
        <v>3918987.0</v>
      </c>
      <c r="F202" s="9">
        <f>VLOOKUP(A202,'Лист2'!$A$1:$F$505,4,FALSE)</f>
        <v>21</v>
      </c>
      <c r="G202" s="9">
        <f>VLOOKUP(A202,'Лист2'!$A$1:$F$505,5,FALSE)</f>
        <v>2410</v>
      </c>
      <c r="H202" s="9">
        <f>VLOOKUP(A202,'Лист2'!$A$1:$F$505,6,FALSE)</f>
        <v>2202</v>
      </c>
      <c r="I202" s="10">
        <f t="shared" si="2"/>
        <v>186618.4286</v>
      </c>
      <c r="J202" s="10">
        <f t="shared" si="3"/>
        <v>21</v>
      </c>
    </row>
    <row r="203" ht="14.25" customHeight="1">
      <c r="A203" s="6" t="str">
        <f t="shared" si="1"/>
        <v>2020-05-05|Казань</v>
      </c>
      <c r="B203" s="11">
        <v>43956.0</v>
      </c>
      <c r="C203" s="12" t="s">
        <v>18</v>
      </c>
      <c r="D203" s="12">
        <v>29482.5</v>
      </c>
      <c r="E203" s="12">
        <v>2648688.0</v>
      </c>
      <c r="F203" s="9">
        <f>VLOOKUP(A203,'Лист2'!$A$1:$F$505,4,FALSE)</f>
        <v>20</v>
      </c>
      <c r="G203" s="9">
        <f>VLOOKUP(A203,'Лист2'!$A$1:$F$505,5,FALSE)</f>
        <v>1757</v>
      </c>
      <c r="H203" s="9">
        <f>VLOOKUP(A203,'Лист2'!$A$1:$F$505,6,FALSE)</f>
        <v>1596</v>
      </c>
      <c r="I203" s="10">
        <f t="shared" si="2"/>
        <v>132434.4</v>
      </c>
      <c r="J203" s="10">
        <f t="shared" si="3"/>
        <v>19</v>
      </c>
    </row>
    <row r="204" ht="14.25" customHeight="1">
      <c r="A204" s="6" t="str">
        <f t="shared" si="1"/>
        <v>2020-04-28|Казань</v>
      </c>
      <c r="B204" s="7">
        <v>43949.0</v>
      </c>
      <c r="C204" s="8" t="s">
        <v>18</v>
      </c>
      <c r="D204" s="8">
        <v>32181.0</v>
      </c>
      <c r="E204" s="8">
        <v>2863600.5</v>
      </c>
      <c r="F204" s="9">
        <f>VLOOKUP(A204,'Лист2'!$A$1:$F$505,4,FALSE)</f>
        <v>19</v>
      </c>
      <c r="G204" s="9">
        <f>VLOOKUP(A204,'Лист2'!$A$1:$F$505,5,FALSE)</f>
        <v>1846</v>
      </c>
      <c r="H204" s="9">
        <f>VLOOKUP(A204,'Лист2'!$A$1:$F$505,6,FALSE)</f>
        <v>1681</v>
      </c>
      <c r="I204" s="10">
        <f t="shared" si="2"/>
        <v>150715.8158</v>
      </c>
      <c r="J204" s="10">
        <f t="shared" si="3"/>
        <v>18</v>
      </c>
    </row>
    <row r="205" ht="14.25" customHeight="1">
      <c r="A205" s="6" t="str">
        <f t="shared" si="1"/>
        <v>2020-05-13|Казань</v>
      </c>
      <c r="B205" s="11">
        <v>43964.0</v>
      </c>
      <c r="C205" s="12" t="s">
        <v>18</v>
      </c>
      <c r="D205" s="12">
        <v>35535.0</v>
      </c>
      <c r="E205" s="12">
        <v>3288069.0</v>
      </c>
      <c r="F205" s="9">
        <f>VLOOKUP(A205,'Лист2'!$A$1:$F$505,4,FALSE)</f>
        <v>21</v>
      </c>
      <c r="G205" s="9">
        <f>VLOOKUP(A205,'Лист2'!$A$1:$F$505,5,FALSE)</f>
        <v>2061</v>
      </c>
      <c r="H205" s="9">
        <f>VLOOKUP(A205,'Лист2'!$A$1:$F$505,6,FALSE)</f>
        <v>1876</v>
      </c>
      <c r="I205" s="10">
        <f t="shared" si="2"/>
        <v>156574.7143</v>
      </c>
      <c r="J205" s="10">
        <f t="shared" si="3"/>
        <v>20</v>
      </c>
    </row>
    <row r="206" ht="14.25" customHeight="1">
      <c r="A206" s="6" t="str">
        <f t="shared" si="1"/>
        <v>2020-05-31|Волгоград</v>
      </c>
      <c r="B206" s="7">
        <v>43982.0</v>
      </c>
      <c r="C206" s="8" t="s">
        <v>17</v>
      </c>
      <c r="D206" s="8">
        <v>76234.5</v>
      </c>
      <c r="E206" s="8">
        <v>6500848.5</v>
      </c>
      <c r="F206" s="9">
        <f>VLOOKUP(A206,'Лист2'!$A$1:$F$505,4,FALSE)</f>
        <v>37</v>
      </c>
      <c r="G206" s="9">
        <f>VLOOKUP(A206,'Лист2'!$A$1:$F$505,5,FALSE)</f>
        <v>5215</v>
      </c>
      <c r="H206" s="9">
        <f>VLOOKUP(A206,'Лист2'!$A$1:$F$505,6,FALSE)</f>
        <v>4848</v>
      </c>
      <c r="I206" s="10">
        <f t="shared" si="2"/>
        <v>175698.6081</v>
      </c>
      <c r="J206" s="10">
        <f t="shared" si="3"/>
        <v>22</v>
      </c>
    </row>
    <row r="207" ht="14.25" customHeight="1">
      <c r="A207" s="6" t="str">
        <f t="shared" si="1"/>
        <v>2020-05-03|Казань</v>
      </c>
      <c r="B207" s="11">
        <v>43954.0</v>
      </c>
      <c r="C207" s="12" t="s">
        <v>18</v>
      </c>
      <c r="D207" s="12">
        <v>29935.5</v>
      </c>
      <c r="E207" s="12">
        <v>2720002.5</v>
      </c>
      <c r="F207" s="9">
        <f>VLOOKUP(A207,'Лист2'!$A$1:$F$505,4,FALSE)</f>
        <v>20</v>
      </c>
      <c r="G207" s="9">
        <f>VLOOKUP(A207,'Лист2'!$A$1:$F$505,5,FALSE)</f>
        <v>1716</v>
      </c>
      <c r="H207" s="9">
        <f>VLOOKUP(A207,'Лист2'!$A$1:$F$505,6,FALSE)</f>
        <v>1561</v>
      </c>
      <c r="I207" s="10">
        <f t="shared" si="2"/>
        <v>136000.125</v>
      </c>
      <c r="J207" s="10">
        <f t="shared" si="3"/>
        <v>18</v>
      </c>
    </row>
    <row r="208" ht="14.25" customHeight="1">
      <c r="A208" s="6" t="str">
        <f t="shared" si="1"/>
        <v>2020-05-30|Волгоград</v>
      </c>
      <c r="B208" s="7">
        <v>43981.0</v>
      </c>
      <c r="C208" s="8" t="s">
        <v>17</v>
      </c>
      <c r="D208" s="8">
        <v>106926.0</v>
      </c>
      <c r="E208" s="8">
        <v>9098386.5</v>
      </c>
      <c r="F208" s="9">
        <f>VLOOKUP(A208,'Лист2'!$A$1:$F$505,4,FALSE)</f>
        <v>37</v>
      </c>
      <c r="G208" s="9">
        <f>VLOOKUP(A208,'Лист2'!$A$1:$F$505,5,FALSE)</f>
        <v>6645</v>
      </c>
      <c r="H208" s="9">
        <f>VLOOKUP(A208,'Лист2'!$A$1:$F$505,6,FALSE)</f>
        <v>6122</v>
      </c>
      <c r="I208" s="10">
        <f t="shared" si="2"/>
        <v>245902.3378</v>
      </c>
      <c r="J208" s="10">
        <f t="shared" si="3"/>
        <v>22</v>
      </c>
    </row>
    <row r="209" ht="14.25" customHeight="1">
      <c r="A209" s="6" t="str">
        <f t="shared" si="1"/>
        <v>2020-05-06|Казань</v>
      </c>
      <c r="B209" s="11">
        <v>43957.0</v>
      </c>
      <c r="C209" s="12" t="s">
        <v>18</v>
      </c>
      <c r="D209" s="12">
        <v>30342.0</v>
      </c>
      <c r="E209" s="12">
        <v>2738127.0</v>
      </c>
      <c r="F209" s="9">
        <f>VLOOKUP(A209,'Лист2'!$A$1:$F$505,4,FALSE)</f>
        <v>20</v>
      </c>
      <c r="G209" s="9">
        <f>VLOOKUP(A209,'Лист2'!$A$1:$F$505,5,FALSE)</f>
        <v>1747</v>
      </c>
      <c r="H209" s="9">
        <f>VLOOKUP(A209,'Лист2'!$A$1:$F$505,6,FALSE)</f>
        <v>1570</v>
      </c>
      <c r="I209" s="10">
        <f t="shared" si="2"/>
        <v>136906.35</v>
      </c>
      <c r="J209" s="10">
        <f t="shared" si="3"/>
        <v>19</v>
      </c>
    </row>
    <row r="210" ht="14.25" customHeight="1">
      <c r="A210" s="6" t="str">
        <f t="shared" si="1"/>
        <v>2020-05-23|Казань</v>
      </c>
      <c r="B210" s="7">
        <v>43974.0</v>
      </c>
      <c r="C210" s="8" t="s">
        <v>18</v>
      </c>
      <c r="D210" s="8">
        <v>42999.0</v>
      </c>
      <c r="E210" s="8">
        <v>3883215.0</v>
      </c>
      <c r="F210" s="9">
        <f>VLOOKUP(A210,'Лист2'!$A$1:$F$505,4,FALSE)</f>
        <v>21</v>
      </c>
      <c r="G210" s="9">
        <f>VLOOKUP(A210,'Лист2'!$A$1:$F$505,5,FALSE)</f>
        <v>2460</v>
      </c>
      <c r="H210" s="9">
        <f>VLOOKUP(A210,'Лист2'!$A$1:$F$505,6,FALSE)</f>
        <v>2226</v>
      </c>
      <c r="I210" s="10">
        <f t="shared" si="2"/>
        <v>184915</v>
      </c>
      <c r="J210" s="10">
        <f t="shared" si="3"/>
        <v>21</v>
      </c>
    </row>
    <row r="211" ht="14.25" customHeight="1">
      <c r="A211" s="6" t="str">
        <f t="shared" si="1"/>
        <v>2020-05-28|Волгоград</v>
      </c>
      <c r="B211" s="11">
        <v>43979.0</v>
      </c>
      <c r="C211" s="12" t="s">
        <v>17</v>
      </c>
      <c r="D211" s="12">
        <v>69945.0</v>
      </c>
      <c r="E211" s="12">
        <v>6101931.0</v>
      </c>
      <c r="F211" s="9">
        <f>VLOOKUP(A211,'Лист2'!$A$1:$F$505,4,FALSE)</f>
        <v>37</v>
      </c>
      <c r="G211" s="9">
        <f>VLOOKUP(A211,'Лист2'!$A$1:$F$505,5,FALSE)</f>
        <v>4840</v>
      </c>
      <c r="H211" s="9">
        <f>VLOOKUP(A211,'Лист2'!$A$1:$F$505,6,FALSE)</f>
        <v>4475</v>
      </c>
      <c r="I211" s="10">
        <f t="shared" si="2"/>
        <v>164917.0541</v>
      </c>
      <c r="J211" s="10">
        <f t="shared" si="3"/>
        <v>22</v>
      </c>
    </row>
    <row r="212" ht="14.25" customHeight="1">
      <c r="A212" s="6" t="str">
        <f t="shared" si="1"/>
        <v>2020-05-25|Казань</v>
      </c>
      <c r="B212" s="7">
        <v>43976.0</v>
      </c>
      <c r="C212" s="8" t="s">
        <v>18</v>
      </c>
      <c r="D212" s="8">
        <v>38740.5</v>
      </c>
      <c r="E212" s="8">
        <v>3561655.5</v>
      </c>
      <c r="F212" s="9">
        <f>VLOOKUP(A212,'Лист2'!$A$1:$F$505,4,FALSE)</f>
        <v>21</v>
      </c>
      <c r="G212" s="9">
        <f>VLOOKUP(A212,'Лист2'!$A$1:$F$505,5,FALSE)</f>
        <v>2330</v>
      </c>
      <c r="H212" s="9">
        <f>VLOOKUP(A212,'Лист2'!$A$1:$F$505,6,FALSE)</f>
        <v>2142</v>
      </c>
      <c r="I212" s="10">
        <f t="shared" si="2"/>
        <v>169602.6429</v>
      </c>
      <c r="J212" s="10">
        <f t="shared" si="3"/>
        <v>22</v>
      </c>
    </row>
    <row r="213" ht="14.25" customHeight="1">
      <c r="A213" s="6" t="str">
        <f t="shared" si="1"/>
        <v>2020-04-30|Казань</v>
      </c>
      <c r="B213" s="11">
        <v>43951.0</v>
      </c>
      <c r="C213" s="12" t="s">
        <v>18</v>
      </c>
      <c r="D213" s="12">
        <v>31231.5</v>
      </c>
      <c r="E213" s="12">
        <v>2853310.5</v>
      </c>
      <c r="F213" s="9">
        <f>VLOOKUP(A213,'Лист2'!$A$1:$F$505,4,FALSE)</f>
        <v>20</v>
      </c>
      <c r="G213" s="9">
        <f>VLOOKUP(A213,'Лист2'!$A$1:$F$505,5,FALSE)</f>
        <v>1756</v>
      </c>
      <c r="H213" s="9">
        <f>VLOOKUP(A213,'Лист2'!$A$1:$F$505,6,FALSE)</f>
        <v>1586</v>
      </c>
      <c r="I213" s="10">
        <f t="shared" si="2"/>
        <v>142665.525</v>
      </c>
      <c r="J213" s="10">
        <f t="shared" si="3"/>
        <v>18</v>
      </c>
    </row>
    <row r="214" ht="14.25" customHeight="1">
      <c r="A214" s="6" t="str">
        <f t="shared" si="1"/>
        <v>2020-05-10|Казань</v>
      </c>
      <c r="B214" s="7">
        <v>43961.0</v>
      </c>
      <c r="C214" s="8" t="s">
        <v>18</v>
      </c>
      <c r="D214" s="8">
        <v>37489.5</v>
      </c>
      <c r="E214" s="8">
        <v>3549097.5</v>
      </c>
      <c r="F214" s="9">
        <f>VLOOKUP(A214,'Лист2'!$A$1:$F$505,4,FALSE)</f>
        <v>21</v>
      </c>
      <c r="G214" s="9">
        <f>VLOOKUP(A214,'Лист2'!$A$1:$F$505,5,FALSE)</f>
        <v>2120</v>
      </c>
      <c r="H214" s="9">
        <f>VLOOKUP(A214,'Лист2'!$A$1:$F$505,6,FALSE)</f>
        <v>1921</v>
      </c>
      <c r="I214" s="10">
        <f t="shared" si="2"/>
        <v>169004.6429</v>
      </c>
      <c r="J214" s="10">
        <f t="shared" si="3"/>
        <v>19</v>
      </c>
    </row>
    <row r="215" ht="14.25" customHeight="1">
      <c r="A215" s="6" t="str">
        <f t="shared" si="1"/>
        <v>2020-05-08|Казань</v>
      </c>
      <c r="B215" s="11">
        <v>43959.0</v>
      </c>
      <c r="C215" s="12" t="s">
        <v>18</v>
      </c>
      <c r="D215" s="12">
        <v>34399.5</v>
      </c>
      <c r="E215" s="12">
        <v>3201358.5</v>
      </c>
      <c r="F215" s="9">
        <f>VLOOKUP(A215,'Лист2'!$A$1:$F$505,4,FALSE)</f>
        <v>21</v>
      </c>
      <c r="G215" s="9">
        <f>VLOOKUP(A215,'Лист2'!$A$1:$F$505,5,FALSE)</f>
        <v>1957</v>
      </c>
      <c r="H215" s="9">
        <f>VLOOKUP(A215,'Лист2'!$A$1:$F$505,6,FALSE)</f>
        <v>1755</v>
      </c>
      <c r="I215" s="10">
        <f t="shared" si="2"/>
        <v>152445.6429</v>
      </c>
      <c r="J215" s="10">
        <f t="shared" si="3"/>
        <v>19</v>
      </c>
    </row>
    <row r="216" ht="14.25" customHeight="1">
      <c r="A216" s="6" t="str">
        <f t="shared" si="1"/>
        <v>2020-05-07|Казань</v>
      </c>
      <c r="B216" s="7">
        <v>43958.0</v>
      </c>
      <c r="C216" s="8" t="s">
        <v>18</v>
      </c>
      <c r="D216" s="8">
        <v>32851.5</v>
      </c>
      <c r="E216" s="8">
        <v>2934504.0</v>
      </c>
      <c r="F216" s="9">
        <f>VLOOKUP(A216,'Лист2'!$A$1:$F$505,4,FALSE)</f>
        <v>21</v>
      </c>
      <c r="G216" s="9">
        <f>VLOOKUP(A216,'Лист2'!$A$1:$F$505,5,FALSE)</f>
        <v>1879</v>
      </c>
      <c r="H216" s="9">
        <f>VLOOKUP(A216,'Лист2'!$A$1:$F$505,6,FALSE)</f>
        <v>1695</v>
      </c>
      <c r="I216" s="10">
        <f t="shared" si="2"/>
        <v>139738.2857</v>
      </c>
      <c r="J216" s="10">
        <f t="shared" si="3"/>
        <v>19</v>
      </c>
    </row>
    <row r="217" ht="14.25" customHeight="1">
      <c r="A217" s="6" t="str">
        <f t="shared" si="1"/>
        <v>2020-05-24|Казань</v>
      </c>
      <c r="B217" s="11">
        <v>43975.0</v>
      </c>
      <c r="C217" s="12" t="s">
        <v>18</v>
      </c>
      <c r="D217" s="12">
        <v>38194.5</v>
      </c>
      <c r="E217" s="12">
        <v>3449302.5</v>
      </c>
      <c r="F217" s="9">
        <f>VLOOKUP(A217,'Лист2'!$A$1:$F$505,4,FALSE)</f>
        <v>21</v>
      </c>
      <c r="G217" s="9">
        <f>VLOOKUP(A217,'Лист2'!$A$1:$F$505,5,FALSE)</f>
        <v>2254</v>
      </c>
      <c r="H217" s="9">
        <f>VLOOKUP(A217,'Лист2'!$A$1:$F$505,6,FALSE)</f>
        <v>2061</v>
      </c>
      <c r="I217" s="10">
        <f t="shared" si="2"/>
        <v>164252.5</v>
      </c>
      <c r="J217" s="10">
        <f t="shared" si="3"/>
        <v>21</v>
      </c>
    </row>
    <row r="218" ht="14.25" customHeight="1">
      <c r="A218" s="6" t="str">
        <f t="shared" si="1"/>
        <v>2020-05-31|Казань</v>
      </c>
      <c r="B218" s="7">
        <v>43982.0</v>
      </c>
      <c r="C218" s="8" t="s">
        <v>18</v>
      </c>
      <c r="D218" s="8">
        <v>42423.0</v>
      </c>
      <c r="E218" s="8">
        <v>3994153.5</v>
      </c>
      <c r="F218" s="9">
        <f>VLOOKUP(A218,'Лист2'!$A$1:$F$505,4,FALSE)</f>
        <v>23</v>
      </c>
      <c r="G218" s="9">
        <f>VLOOKUP(A218,'Лист2'!$A$1:$F$505,5,FALSE)</f>
        <v>2522</v>
      </c>
      <c r="H218" s="9">
        <f>VLOOKUP(A218,'Лист2'!$A$1:$F$505,6,FALSE)</f>
        <v>2295</v>
      </c>
      <c r="I218" s="10">
        <f t="shared" si="2"/>
        <v>173658.8478</v>
      </c>
      <c r="J218" s="10">
        <f t="shared" si="3"/>
        <v>22</v>
      </c>
    </row>
    <row r="219" ht="14.25" customHeight="1">
      <c r="A219" s="6" t="str">
        <f t="shared" si="1"/>
        <v>2020-05-30|Казань</v>
      </c>
      <c r="B219" s="11">
        <v>43981.0</v>
      </c>
      <c r="C219" s="12" t="s">
        <v>18</v>
      </c>
      <c r="D219" s="12">
        <v>48286.5</v>
      </c>
      <c r="E219" s="12">
        <v>4456441.5</v>
      </c>
      <c r="F219" s="9">
        <f>VLOOKUP(A219,'Лист2'!$A$1:$F$505,4,FALSE)</f>
        <v>22</v>
      </c>
      <c r="G219" s="9">
        <f>VLOOKUP(A219,'Лист2'!$A$1:$F$505,5,FALSE)</f>
        <v>2793</v>
      </c>
      <c r="H219" s="9">
        <f>VLOOKUP(A219,'Лист2'!$A$1:$F$505,6,FALSE)</f>
        <v>2539</v>
      </c>
      <c r="I219" s="10">
        <f t="shared" si="2"/>
        <v>202565.5227</v>
      </c>
      <c r="J219" s="10">
        <f t="shared" si="3"/>
        <v>22</v>
      </c>
    </row>
    <row r="220" ht="14.25" customHeight="1">
      <c r="A220" s="6" t="str">
        <f t="shared" si="1"/>
        <v>2020-05-28|Казань</v>
      </c>
      <c r="B220" s="7">
        <v>43979.0</v>
      </c>
      <c r="C220" s="8" t="s">
        <v>18</v>
      </c>
      <c r="D220" s="8">
        <v>41442.0</v>
      </c>
      <c r="E220" s="8">
        <v>3893680.5</v>
      </c>
      <c r="F220" s="9">
        <f>VLOOKUP(A220,'Лист2'!$A$1:$F$505,4,FALSE)</f>
        <v>22</v>
      </c>
      <c r="G220" s="9">
        <f>VLOOKUP(A220,'Лист2'!$A$1:$F$505,5,FALSE)</f>
        <v>2454</v>
      </c>
      <c r="H220" s="9">
        <f>VLOOKUP(A220,'Лист2'!$A$1:$F$505,6,FALSE)</f>
        <v>2239</v>
      </c>
      <c r="I220" s="10">
        <f t="shared" si="2"/>
        <v>176985.4773</v>
      </c>
      <c r="J220" s="10">
        <f t="shared" si="3"/>
        <v>22</v>
      </c>
    </row>
    <row r="221" ht="14.25" customHeight="1">
      <c r="A221" s="6" t="str">
        <f t="shared" si="1"/>
        <v>2020-05-16|Пермь</v>
      </c>
      <c r="B221" s="11">
        <v>43967.0</v>
      </c>
      <c r="C221" s="12" t="s">
        <v>19</v>
      </c>
      <c r="D221" s="12">
        <v>18600.0</v>
      </c>
      <c r="E221" s="12">
        <v>1601425.5</v>
      </c>
      <c r="F221" s="9">
        <f>VLOOKUP(A221,'Лист2'!$A$1:$F$505,4,FALSE)</f>
        <v>15</v>
      </c>
      <c r="G221" s="9">
        <f>VLOOKUP(A221,'Лист2'!$A$1:$F$505,5,FALSE)</f>
        <v>1111</v>
      </c>
      <c r="H221" s="9">
        <f>VLOOKUP(A221,'Лист2'!$A$1:$F$505,6,FALSE)</f>
        <v>992</v>
      </c>
      <c r="I221" s="10">
        <f t="shared" si="2"/>
        <v>106761.7</v>
      </c>
      <c r="J221" s="10">
        <f t="shared" si="3"/>
        <v>20</v>
      </c>
    </row>
    <row r="222" ht="14.25" customHeight="1">
      <c r="A222" s="6" t="str">
        <f t="shared" si="1"/>
        <v>2020-05-19|Пермь</v>
      </c>
      <c r="B222" s="7">
        <v>43970.0</v>
      </c>
      <c r="C222" s="8" t="s">
        <v>19</v>
      </c>
      <c r="D222" s="8">
        <v>16638.0</v>
      </c>
      <c r="E222" s="8">
        <v>1364847.0</v>
      </c>
      <c r="F222" s="9">
        <f>VLOOKUP(A222,'Лист2'!$A$1:$F$505,4,FALSE)</f>
        <v>16</v>
      </c>
      <c r="G222" s="9">
        <f>VLOOKUP(A222,'Лист2'!$A$1:$F$505,5,FALSE)</f>
        <v>1012</v>
      </c>
      <c r="H222" s="9">
        <f>VLOOKUP(A222,'Лист2'!$A$1:$F$505,6,FALSE)</f>
        <v>900</v>
      </c>
      <c r="I222" s="10">
        <f t="shared" si="2"/>
        <v>85302.9375</v>
      </c>
      <c r="J222" s="10">
        <f t="shared" si="3"/>
        <v>21</v>
      </c>
    </row>
    <row r="223" ht="14.25" customHeight="1">
      <c r="A223" s="6" t="str">
        <f t="shared" si="1"/>
        <v>2020-05-17|Пермь</v>
      </c>
      <c r="B223" s="11">
        <v>43968.0</v>
      </c>
      <c r="C223" s="12" t="s">
        <v>19</v>
      </c>
      <c r="D223" s="12">
        <v>15609.0</v>
      </c>
      <c r="E223" s="12">
        <v>1377577.5</v>
      </c>
      <c r="F223" s="9">
        <f>VLOOKUP(A223,'Лист2'!$A$1:$F$505,4,FALSE)</f>
        <v>15</v>
      </c>
      <c r="G223" s="9">
        <f>VLOOKUP(A223,'Лист2'!$A$1:$F$505,5,FALSE)</f>
        <v>971</v>
      </c>
      <c r="H223" s="9">
        <f>VLOOKUP(A223,'Лист2'!$A$1:$F$505,6,FALSE)</f>
        <v>856</v>
      </c>
      <c r="I223" s="10">
        <f t="shared" si="2"/>
        <v>91838.5</v>
      </c>
      <c r="J223" s="10">
        <f t="shared" si="3"/>
        <v>20</v>
      </c>
    </row>
    <row r="224" ht="14.25" customHeight="1">
      <c r="A224" s="6" t="str">
        <f t="shared" si="1"/>
        <v>2020-05-09|Пермь</v>
      </c>
      <c r="B224" s="7">
        <v>43960.0</v>
      </c>
      <c r="C224" s="8" t="s">
        <v>19</v>
      </c>
      <c r="D224" s="8">
        <v>13948.5</v>
      </c>
      <c r="E224" s="8">
        <v>1222932.0</v>
      </c>
      <c r="F224" s="9">
        <f>VLOOKUP(A224,'Лист2'!$A$1:$F$505,4,FALSE)</f>
        <v>15</v>
      </c>
      <c r="G224" s="9">
        <f>VLOOKUP(A224,'Лист2'!$A$1:$F$505,5,FALSE)</f>
        <v>849</v>
      </c>
      <c r="H224" s="9">
        <f>VLOOKUP(A224,'Лист2'!$A$1:$F$505,6,FALSE)</f>
        <v>740</v>
      </c>
      <c r="I224" s="10">
        <f t="shared" si="2"/>
        <v>81528.8</v>
      </c>
      <c r="J224" s="10">
        <f t="shared" si="3"/>
        <v>19</v>
      </c>
    </row>
    <row r="225" ht="14.25" customHeight="1">
      <c r="A225" s="6" t="str">
        <f t="shared" si="1"/>
        <v>2020-05-04|Пермь</v>
      </c>
      <c r="B225" s="11">
        <v>43955.0</v>
      </c>
      <c r="C225" s="12" t="s">
        <v>19</v>
      </c>
      <c r="D225" s="12">
        <v>12301.5</v>
      </c>
      <c r="E225" s="12">
        <v>1085211.0</v>
      </c>
      <c r="F225" s="9">
        <f>VLOOKUP(A225,'Лист2'!$A$1:$F$505,4,FALSE)</f>
        <v>15</v>
      </c>
      <c r="G225" s="9">
        <f>VLOOKUP(A225,'Лист2'!$A$1:$F$505,5,FALSE)</f>
        <v>750</v>
      </c>
      <c r="H225" s="9">
        <f>VLOOKUP(A225,'Лист2'!$A$1:$F$505,6,FALSE)</f>
        <v>647</v>
      </c>
      <c r="I225" s="10">
        <f t="shared" si="2"/>
        <v>72347.4</v>
      </c>
      <c r="J225" s="10">
        <f t="shared" si="3"/>
        <v>19</v>
      </c>
    </row>
    <row r="226" ht="14.25" customHeight="1">
      <c r="A226" s="6" t="str">
        <f t="shared" si="1"/>
        <v>2020-04-29|Пермь</v>
      </c>
      <c r="B226" s="7">
        <v>43950.0</v>
      </c>
      <c r="C226" s="8" t="s">
        <v>19</v>
      </c>
      <c r="D226" s="8">
        <v>13014.0</v>
      </c>
      <c r="E226" s="8">
        <v>1115992.5</v>
      </c>
      <c r="F226" s="9">
        <f>VLOOKUP(A226,'Лист2'!$A$1:$F$505,4,FALSE)</f>
        <v>15</v>
      </c>
      <c r="G226" s="9">
        <f>VLOOKUP(A226,'Лист2'!$A$1:$F$505,5,FALSE)</f>
        <v>786</v>
      </c>
      <c r="H226" s="9">
        <f>VLOOKUP(A226,'Лист2'!$A$1:$F$505,6,FALSE)</f>
        <v>695</v>
      </c>
      <c r="I226" s="10">
        <f t="shared" si="2"/>
        <v>74399.5</v>
      </c>
      <c r="J226" s="10">
        <f t="shared" si="3"/>
        <v>18</v>
      </c>
    </row>
    <row r="227" ht="14.25" customHeight="1">
      <c r="A227" s="6" t="str">
        <f t="shared" si="1"/>
        <v>2020-05-02|Пермь</v>
      </c>
      <c r="B227" s="11">
        <v>43953.0</v>
      </c>
      <c r="C227" s="12" t="s">
        <v>19</v>
      </c>
      <c r="D227" s="12">
        <v>12313.5</v>
      </c>
      <c r="E227" s="12">
        <v>1053220.5</v>
      </c>
      <c r="F227" s="9">
        <f>VLOOKUP(A227,'Лист2'!$A$1:$F$505,4,FALSE)</f>
        <v>15</v>
      </c>
      <c r="G227" s="9">
        <f>VLOOKUP(A227,'Лист2'!$A$1:$F$505,5,FALSE)</f>
        <v>751</v>
      </c>
      <c r="H227" s="9">
        <f>VLOOKUP(A227,'Лист2'!$A$1:$F$505,6,FALSE)</f>
        <v>651</v>
      </c>
      <c r="I227" s="10">
        <f t="shared" si="2"/>
        <v>70214.7</v>
      </c>
      <c r="J227" s="10">
        <f t="shared" si="3"/>
        <v>18</v>
      </c>
    </row>
    <row r="228" ht="14.25" customHeight="1">
      <c r="A228" s="6" t="str">
        <f t="shared" si="1"/>
        <v>2020-05-26|Пермь</v>
      </c>
      <c r="B228" s="7">
        <v>43977.0</v>
      </c>
      <c r="C228" s="8" t="s">
        <v>19</v>
      </c>
      <c r="D228" s="8">
        <v>17391.0</v>
      </c>
      <c r="E228" s="8">
        <v>1489132.5</v>
      </c>
      <c r="F228" s="9">
        <f>VLOOKUP(A228,'Лист2'!$A$1:$F$505,4,FALSE)</f>
        <v>17</v>
      </c>
      <c r="G228" s="9">
        <f>VLOOKUP(A228,'Лист2'!$A$1:$F$505,5,FALSE)</f>
        <v>1140</v>
      </c>
      <c r="H228" s="9">
        <f>VLOOKUP(A228,'Лист2'!$A$1:$F$505,6,FALSE)</f>
        <v>1016</v>
      </c>
      <c r="I228" s="10">
        <f t="shared" si="2"/>
        <v>87596.02941</v>
      </c>
      <c r="J228" s="10">
        <f t="shared" si="3"/>
        <v>22</v>
      </c>
    </row>
    <row r="229" ht="14.25" customHeight="1">
      <c r="A229" s="6" t="str">
        <f t="shared" si="1"/>
        <v>2020-05-01|Пермь</v>
      </c>
      <c r="B229" s="11">
        <v>43952.0</v>
      </c>
      <c r="C229" s="12" t="s">
        <v>19</v>
      </c>
      <c r="D229" s="12">
        <v>17113.5</v>
      </c>
      <c r="E229" s="12">
        <v>1465842.0</v>
      </c>
      <c r="F229" s="9">
        <f>VLOOKUP(A229,'Лист2'!$A$1:$F$505,4,FALSE)</f>
        <v>15</v>
      </c>
      <c r="G229" s="9">
        <f>VLOOKUP(A229,'Лист2'!$A$1:$F$505,5,FALSE)</f>
        <v>996</v>
      </c>
      <c r="H229" s="9">
        <f>VLOOKUP(A229,'Лист2'!$A$1:$F$505,6,FALSE)</f>
        <v>888</v>
      </c>
      <c r="I229" s="10">
        <f t="shared" si="2"/>
        <v>97722.8</v>
      </c>
      <c r="J229" s="10">
        <f t="shared" si="3"/>
        <v>18</v>
      </c>
    </row>
    <row r="230" ht="14.25" customHeight="1">
      <c r="A230" s="6" t="str">
        <f t="shared" si="1"/>
        <v>2020-05-12|Пермь</v>
      </c>
      <c r="B230" s="7">
        <v>43963.0</v>
      </c>
      <c r="C230" s="8" t="s">
        <v>19</v>
      </c>
      <c r="D230" s="8">
        <v>12802.5</v>
      </c>
      <c r="E230" s="8">
        <v>1123830.0</v>
      </c>
      <c r="F230" s="9">
        <f>VLOOKUP(A230,'Лист2'!$A$1:$F$505,4,FALSE)</f>
        <v>15</v>
      </c>
      <c r="G230" s="9">
        <f>VLOOKUP(A230,'Лист2'!$A$1:$F$505,5,FALSE)</f>
        <v>845</v>
      </c>
      <c r="H230" s="9">
        <f>VLOOKUP(A230,'Лист2'!$A$1:$F$505,6,FALSE)</f>
        <v>743</v>
      </c>
      <c r="I230" s="10">
        <f t="shared" si="2"/>
        <v>74922</v>
      </c>
      <c r="J230" s="10">
        <f t="shared" si="3"/>
        <v>20</v>
      </c>
    </row>
    <row r="231" ht="14.25" customHeight="1">
      <c r="A231" s="6" t="str">
        <f t="shared" si="1"/>
        <v>2020-05-21|Пермь</v>
      </c>
      <c r="B231" s="11">
        <v>43972.0</v>
      </c>
      <c r="C231" s="12" t="s">
        <v>19</v>
      </c>
      <c r="D231" s="12">
        <v>16554.0</v>
      </c>
      <c r="E231" s="12">
        <v>1380751.5</v>
      </c>
      <c r="F231" s="9">
        <f>VLOOKUP(A231,'Лист2'!$A$1:$F$505,4,FALSE)</f>
        <v>17</v>
      </c>
      <c r="G231" s="9">
        <f>VLOOKUP(A231,'Лист2'!$A$1:$F$505,5,FALSE)</f>
        <v>1045</v>
      </c>
      <c r="H231" s="9">
        <f>VLOOKUP(A231,'Лист2'!$A$1:$F$505,6,FALSE)</f>
        <v>930</v>
      </c>
      <c r="I231" s="10">
        <f t="shared" si="2"/>
        <v>81220.67647</v>
      </c>
      <c r="J231" s="10">
        <f t="shared" si="3"/>
        <v>21</v>
      </c>
    </row>
    <row r="232" ht="14.25" customHeight="1">
      <c r="A232" s="6" t="str">
        <f t="shared" si="1"/>
        <v>2020-05-20|Пермь</v>
      </c>
      <c r="B232" s="7">
        <v>43971.0</v>
      </c>
      <c r="C232" s="8" t="s">
        <v>19</v>
      </c>
      <c r="D232" s="8">
        <v>17329.5</v>
      </c>
      <c r="E232" s="8">
        <v>1430254.5</v>
      </c>
      <c r="F232" s="9">
        <f>VLOOKUP(A232,'Лист2'!$A$1:$F$505,4,FALSE)</f>
        <v>16</v>
      </c>
      <c r="G232" s="9">
        <f>VLOOKUP(A232,'Лист2'!$A$1:$F$505,5,FALSE)</f>
        <v>1050</v>
      </c>
      <c r="H232" s="9">
        <f>VLOOKUP(A232,'Лист2'!$A$1:$F$505,6,FALSE)</f>
        <v>938</v>
      </c>
      <c r="I232" s="10">
        <f t="shared" si="2"/>
        <v>89390.90625</v>
      </c>
      <c r="J232" s="10">
        <f t="shared" si="3"/>
        <v>21</v>
      </c>
    </row>
    <row r="233" ht="14.25" customHeight="1">
      <c r="A233" s="6" t="str">
        <f t="shared" si="1"/>
        <v>2020-05-05|Пермь</v>
      </c>
      <c r="B233" s="11">
        <v>43956.0</v>
      </c>
      <c r="C233" s="12" t="s">
        <v>19</v>
      </c>
      <c r="D233" s="12">
        <v>15987.0</v>
      </c>
      <c r="E233" s="12">
        <v>1384179.0</v>
      </c>
      <c r="F233" s="9">
        <f>VLOOKUP(A233,'Лист2'!$A$1:$F$505,4,FALSE)</f>
        <v>15</v>
      </c>
      <c r="G233" s="9">
        <f>VLOOKUP(A233,'Лист2'!$A$1:$F$505,5,FALSE)</f>
        <v>922</v>
      </c>
      <c r="H233" s="9">
        <f>VLOOKUP(A233,'Лист2'!$A$1:$F$505,6,FALSE)</f>
        <v>823</v>
      </c>
      <c r="I233" s="10">
        <f t="shared" si="2"/>
        <v>92278.6</v>
      </c>
      <c r="J233" s="10">
        <f t="shared" si="3"/>
        <v>19</v>
      </c>
    </row>
    <row r="234" ht="14.25" customHeight="1">
      <c r="A234" s="6" t="str">
        <f t="shared" si="1"/>
        <v>2020-04-28|Пермь</v>
      </c>
      <c r="B234" s="7">
        <v>43949.0</v>
      </c>
      <c r="C234" s="8" t="s">
        <v>19</v>
      </c>
      <c r="D234" s="8">
        <v>13303.5</v>
      </c>
      <c r="E234" s="8">
        <v>1102887.0</v>
      </c>
      <c r="F234" s="9">
        <f>VLOOKUP(A234,'Лист2'!$A$1:$F$505,4,FALSE)</f>
        <v>15</v>
      </c>
      <c r="G234" s="9">
        <f>VLOOKUP(A234,'Лист2'!$A$1:$F$505,5,FALSE)</f>
        <v>780</v>
      </c>
      <c r="H234" s="9">
        <f>VLOOKUP(A234,'Лист2'!$A$1:$F$505,6,FALSE)</f>
        <v>690</v>
      </c>
      <c r="I234" s="10">
        <f t="shared" si="2"/>
        <v>73525.8</v>
      </c>
      <c r="J234" s="10">
        <f t="shared" si="3"/>
        <v>18</v>
      </c>
    </row>
    <row r="235" ht="14.25" customHeight="1">
      <c r="A235" s="6" t="str">
        <f t="shared" si="1"/>
        <v>2020-05-13|Пермь</v>
      </c>
      <c r="B235" s="11">
        <v>43964.0</v>
      </c>
      <c r="C235" s="12" t="s">
        <v>19</v>
      </c>
      <c r="D235" s="12">
        <v>14305.5</v>
      </c>
      <c r="E235" s="12">
        <v>1243507.5</v>
      </c>
      <c r="F235" s="9">
        <f>VLOOKUP(A235,'Лист2'!$A$1:$F$505,4,FALSE)</f>
        <v>15</v>
      </c>
      <c r="G235" s="9">
        <f>VLOOKUP(A235,'Лист2'!$A$1:$F$505,5,FALSE)</f>
        <v>898</v>
      </c>
      <c r="H235" s="9">
        <f>VLOOKUP(A235,'Лист2'!$A$1:$F$505,6,FALSE)</f>
        <v>795</v>
      </c>
      <c r="I235" s="10">
        <f t="shared" si="2"/>
        <v>82900.5</v>
      </c>
      <c r="J235" s="10">
        <f t="shared" si="3"/>
        <v>20</v>
      </c>
    </row>
    <row r="236" ht="14.25" customHeight="1">
      <c r="A236" s="6" t="str">
        <f t="shared" si="1"/>
        <v>2020-05-03|Пермь</v>
      </c>
      <c r="B236" s="7">
        <v>43954.0</v>
      </c>
      <c r="C236" s="8" t="s">
        <v>19</v>
      </c>
      <c r="D236" s="8">
        <v>12924.0</v>
      </c>
      <c r="E236" s="8">
        <v>1120009.5</v>
      </c>
      <c r="F236" s="9">
        <f>VLOOKUP(A236,'Лист2'!$A$1:$F$505,4,FALSE)</f>
        <v>15</v>
      </c>
      <c r="G236" s="9">
        <f>VLOOKUP(A236,'Лист2'!$A$1:$F$505,5,FALSE)</f>
        <v>784</v>
      </c>
      <c r="H236" s="9">
        <f>VLOOKUP(A236,'Лист2'!$A$1:$F$505,6,FALSE)</f>
        <v>696</v>
      </c>
      <c r="I236" s="10">
        <f t="shared" si="2"/>
        <v>74667.3</v>
      </c>
      <c r="J236" s="10">
        <f t="shared" si="3"/>
        <v>18</v>
      </c>
    </row>
    <row r="237" ht="14.25" customHeight="1">
      <c r="A237" s="6" t="str">
        <f t="shared" si="1"/>
        <v>2020-05-06|Пермь</v>
      </c>
      <c r="B237" s="11">
        <v>43957.0</v>
      </c>
      <c r="C237" s="12" t="s">
        <v>19</v>
      </c>
      <c r="D237" s="12">
        <v>14061.0</v>
      </c>
      <c r="E237" s="12">
        <v>1221057.0</v>
      </c>
      <c r="F237" s="9">
        <f>VLOOKUP(A237,'Лист2'!$A$1:$F$505,4,FALSE)</f>
        <v>15</v>
      </c>
      <c r="G237" s="9">
        <f>VLOOKUP(A237,'Лист2'!$A$1:$F$505,5,FALSE)</f>
        <v>839</v>
      </c>
      <c r="H237" s="9">
        <f>VLOOKUP(A237,'Лист2'!$A$1:$F$505,6,FALSE)</f>
        <v>733</v>
      </c>
      <c r="I237" s="10">
        <f t="shared" si="2"/>
        <v>81403.8</v>
      </c>
      <c r="J237" s="10">
        <f t="shared" si="3"/>
        <v>19</v>
      </c>
    </row>
    <row r="238" ht="14.25" customHeight="1">
      <c r="A238" s="6" t="str">
        <f t="shared" si="1"/>
        <v>2020-05-23|Пермь</v>
      </c>
      <c r="B238" s="7">
        <v>43974.0</v>
      </c>
      <c r="C238" s="8" t="s">
        <v>19</v>
      </c>
      <c r="D238" s="8">
        <v>21958.5</v>
      </c>
      <c r="E238" s="8">
        <v>1854001.5</v>
      </c>
      <c r="F238" s="9">
        <f>VLOOKUP(A238,'Лист2'!$A$1:$F$505,4,FALSE)</f>
        <v>17</v>
      </c>
      <c r="G238" s="9">
        <f>VLOOKUP(A238,'Лист2'!$A$1:$F$505,5,FALSE)</f>
        <v>1294</v>
      </c>
      <c r="H238" s="9">
        <f>VLOOKUP(A238,'Лист2'!$A$1:$F$505,6,FALSE)</f>
        <v>1155</v>
      </c>
      <c r="I238" s="10">
        <f t="shared" si="2"/>
        <v>109058.9118</v>
      </c>
      <c r="J238" s="10">
        <f t="shared" si="3"/>
        <v>21</v>
      </c>
    </row>
    <row r="239" ht="14.25" customHeight="1">
      <c r="A239" s="6" t="str">
        <f t="shared" si="1"/>
        <v>2020-05-25|Пермь</v>
      </c>
      <c r="B239" s="11">
        <v>43976.0</v>
      </c>
      <c r="C239" s="12" t="s">
        <v>19</v>
      </c>
      <c r="D239" s="12">
        <v>17211.0</v>
      </c>
      <c r="E239" s="12">
        <v>1507867.5</v>
      </c>
      <c r="F239" s="9">
        <f>VLOOKUP(A239,'Лист2'!$A$1:$F$505,4,FALSE)</f>
        <v>17</v>
      </c>
      <c r="G239" s="9">
        <f>VLOOKUP(A239,'Лист2'!$A$1:$F$505,5,FALSE)</f>
        <v>1142</v>
      </c>
      <c r="H239" s="9">
        <f>VLOOKUP(A239,'Лист2'!$A$1:$F$505,6,FALSE)</f>
        <v>1020</v>
      </c>
      <c r="I239" s="10">
        <f t="shared" si="2"/>
        <v>88698.08824</v>
      </c>
      <c r="J239" s="10">
        <f t="shared" si="3"/>
        <v>22</v>
      </c>
    </row>
    <row r="240" ht="14.25" customHeight="1">
      <c r="A240" s="6" t="str">
        <f t="shared" si="1"/>
        <v>2020-04-30|Пермь</v>
      </c>
      <c r="B240" s="7">
        <v>43951.0</v>
      </c>
      <c r="C240" s="8" t="s">
        <v>19</v>
      </c>
      <c r="D240" s="8">
        <v>12753.0</v>
      </c>
      <c r="E240" s="8">
        <v>1103068.5</v>
      </c>
      <c r="F240" s="9">
        <f>VLOOKUP(A240,'Лист2'!$A$1:$F$505,4,FALSE)</f>
        <v>15</v>
      </c>
      <c r="G240" s="9">
        <f>VLOOKUP(A240,'Лист2'!$A$1:$F$505,5,FALSE)</f>
        <v>791</v>
      </c>
      <c r="H240" s="9">
        <f>VLOOKUP(A240,'Лист2'!$A$1:$F$505,6,FALSE)</f>
        <v>691</v>
      </c>
      <c r="I240" s="10">
        <f t="shared" si="2"/>
        <v>73537.9</v>
      </c>
      <c r="J240" s="10">
        <f t="shared" si="3"/>
        <v>18</v>
      </c>
    </row>
    <row r="241" ht="14.25" customHeight="1">
      <c r="A241" s="6" t="str">
        <f t="shared" si="1"/>
        <v>2020-05-10|Пермь</v>
      </c>
      <c r="B241" s="11">
        <v>43961.0</v>
      </c>
      <c r="C241" s="12" t="s">
        <v>19</v>
      </c>
      <c r="D241" s="12">
        <v>16435.5</v>
      </c>
      <c r="E241" s="12">
        <v>1471537.5</v>
      </c>
      <c r="F241" s="9">
        <f>VLOOKUP(A241,'Лист2'!$A$1:$F$505,4,FALSE)</f>
        <v>15</v>
      </c>
      <c r="G241" s="9">
        <f>VLOOKUP(A241,'Лист2'!$A$1:$F$505,5,FALSE)</f>
        <v>950</v>
      </c>
      <c r="H241" s="9">
        <f>VLOOKUP(A241,'Лист2'!$A$1:$F$505,6,FALSE)</f>
        <v>848</v>
      </c>
      <c r="I241" s="10">
        <f t="shared" si="2"/>
        <v>98102.5</v>
      </c>
      <c r="J241" s="10">
        <f t="shared" si="3"/>
        <v>19</v>
      </c>
    </row>
    <row r="242" ht="14.25" customHeight="1">
      <c r="A242" s="6" t="str">
        <f t="shared" si="1"/>
        <v>2020-05-08|Пермь</v>
      </c>
      <c r="B242" s="7">
        <v>43959.0</v>
      </c>
      <c r="C242" s="8" t="s">
        <v>19</v>
      </c>
      <c r="D242" s="8">
        <v>14494.5</v>
      </c>
      <c r="E242" s="8">
        <v>1269786.0</v>
      </c>
      <c r="F242" s="9">
        <f>VLOOKUP(A242,'Лист2'!$A$1:$F$505,4,FALSE)</f>
        <v>15</v>
      </c>
      <c r="G242" s="9">
        <f>VLOOKUP(A242,'Лист2'!$A$1:$F$505,5,FALSE)</f>
        <v>879</v>
      </c>
      <c r="H242" s="9">
        <f>VLOOKUP(A242,'Лист2'!$A$1:$F$505,6,FALSE)</f>
        <v>768</v>
      </c>
      <c r="I242" s="10">
        <f t="shared" si="2"/>
        <v>84652.4</v>
      </c>
      <c r="J242" s="10">
        <f t="shared" si="3"/>
        <v>19</v>
      </c>
    </row>
    <row r="243" ht="14.25" customHeight="1">
      <c r="A243" s="6" t="str">
        <f t="shared" si="1"/>
        <v>2020-05-07|Пермь</v>
      </c>
      <c r="B243" s="11">
        <v>43958.0</v>
      </c>
      <c r="C243" s="12" t="s">
        <v>19</v>
      </c>
      <c r="D243" s="12">
        <v>12705.0</v>
      </c>
      <c r="E243" s="12">
        <v>1123894.5</v>
      </c>
      <c r="F243" s="9">
        <f>VLOOKUP(A243,'Лист2'!$A$1:$F$505,4,FALSE)</f>
        <v>15</v>
      </c>
      <c r="G243" s="9">
        <f>VLOOKUP(A243,'Лист2'!$A$1:$F$505,5,FALSE)</f>
        <v>805</v>
      </c>
      <c r="H243" s="9">
        <f>VLOOKUP(A243,'Лист2'!$A$1:$F$505,6,FALSE)</f>
        <v>703</v>
      </c>
      <c r="I243" s="10">
        <f t="shared" si="2"/>
        <v>74926.3</v>
      </c>
      <c r="J243" s="10">
        <f t="shared" si="3"/>
        <v>19</v>
      </c>
    </row>
    <row r="244" ht="14.25" customHeight="1">
      <c r="A244" s="6" t="str">
        <f t="shared" si="1"/>
        <v>2020-05-24|Пермь</v>
      </c>
      <c r="B244" s="7">
        <v>43975.0</v>
      </c>
      <c r="C244" s="8" t="s">
        <v>19</v>
      </c>
      <c r="D244" s="8">
        <v>18075.0</v>
      </c>
      <c r="E244" s="8">
        <v>1548099.0</v>
      </c>
      <c r="F244" s="9">
        <f>VLOOKUP(A244,'Лист2'!$A$1:$F$505,4,FALSE)</f>
        <v>17</v>
      </c>
      <c r="G244" s="9">
        <f>VLOOKUP(A244,'Лист2'!$A$1:$F$505,5,FALSE)</f>
        <v>1128</v>
      </c>
      <c r="H244" s="9">
        <f>VLOOKUP(A244,'Лист2'!$A$1:$F$505,6,FALSE)</f>
        <v>1001</v>
      </c>
      <c r="I244" s="10">
        <f t="shared" si="2"/>
        <v>91064.64706</v>
      </c>
      <c r="J244" s="10">
        <f t="shared" si="3"/>
        <v>21</v>
      </c>
    </row>
    <row r="245" ht="14.25" customHeight="1">
      <c r="A245" s="6" t="str">
        <f t="shared" si="1"/>
        <v>2020-05-16|Ростов-на-Дону</v>
      </c>
      <c r="B245" s="11">
        <v>43967.0</v>
      </c>
      <c r="C245" s="12" t="s">
        <v>20</v>
      </c>
      <c r="D245" s="12">
        <v>13120.5</v>
      </c>
      <c r="E245" s="12">
        <v>1215033.0</v>
      </c>
      <c r="F245" s="9">
        <f>VLOOKUP(A245,'Лист2'!$A$1:$F$505,4,FALSE)</f>
        <v>15</v>
      </c>
      <c r="G245" s="9">
        <f>VLOOKUP(A245,'Лист2'!$A$1:$F$505,5,FALSE)</f>
        <v>747</v>
      </c>
      <c r="H245" s="9">
        <f>VLOOKUP(A245,'Лист2'!$A$1:$F$505,6,FALSE)</f>
        <v>647</v>
      </c>
      <c r="I245" s="10">
        <f t="shared" si="2"/>
        <v>81002.2</v>
      </c>
      <c r="J245" s="10">
        <f t="shared" si="3"/>
        <v>20</v>
      </c>
    </row>
    <row r="246" ht="14.25" customHeight="1">
      <c r="A246" s="6" t="str">
        <f t="shared" si="1"/>
        <v>2020-05-19|Ростов-на-Дону</v>
      </c>
      <c r="B246" s="7">
        <v>43970.0</v>
      </c>
      <c r="C246" s="8" t="s">
        <v>20</v>
      </c>
      <c r="D246" s="8">
        <v>16237.5</v>
      </c>
      <c r="E246" s="8">
        <v>1403047.5</v>
      </c>
      <c r="F246" s="9">
        <f>VLOOKUP(A246,'Лист2'!$A$1:$F$505,4,FALSE)</f>
        <v>15</v>
      </c>
      <c r="G246" s="9">
        <f>VLOOKUP(A246,'Лист2'!$A$1:$F$505,5,FALSE)</f>
        <v>930</v>
      </c>
      <c r="H246" s="9">
        <f>VLOOKUP(A246,'Лист2'!$A$1:$F$505,6,FALSE)</f>
        <v>827</v>
      </c>
      <c r="I246" s="10">
        <f t="shared" si="2"/>
        <v>93536.5</v>
      </c>
      <c r="J246" s="10">
        <f t="shared" si="3"/>
        <v>21</v>
      </c>
    </row>
    <row r="247" ht="14.25" customHeight="1">
      <c r="A247" s="6" t="str">
        <f t="shared" si="1"/>
        <v>2020-05-17|Ростов-на-Дону</v>
      </c>
      <c r="B247" s="11">
        <v>43968.0</v>
      </c>
      <c r="C247" s="12" t="s">
        <v>20</v>
      </c>
      <c r="D247" s="12">
        <v>11967.0</v>
      </c>
      <c r="E247" s="12">
        <v>1060489.5</v>
      </c>
      <c r="F247" s="9">
        <f>VLOOKUP(A247,'Лист2'!$A$1:$F$505,4,FALSE)</f>
        <v>15</v>
      </c>
      <c r="G247" s="9">
        <f>VLOOKUP(A247,'Лист2'!$A$1:$F$505,5,FALSE)</f>
        <v>692</v>
      </c>
      <c r="H247" s="9">
        <f>VLOOKUP(A247,'Лист2'!$A$1:$F$505,6,FALSE)</f>
        <v>591</v>
      </c>
      <c r="I247" s="10">
        <f t="shared" si="2"/>
        <v>70699.3</v>
      </c>
      <c r="J247" s="10">
        <f t="shared" si="3"/>
        <v>20</v>
      </c>
    </row>
    <row r="248" ht="14.25" customHeight="1">
      <c r="A248" s="6" t="str">
        <f t="shared" si="1"/>
        <v>2020-05-09|Ростов-на-Дону</v>
      </c>
      <c r="B248" s="7">
        <v>43960.0</v>
      </c>
      <c r="C248" s="8" t="s">
        <v>20</v>
      </c>
      <c r="D248" s="8">
        <v>12037.5</v>
      </c>
      <c r="E248" s="8">
        <v>1081216.5</v>
      </c>
      <c r="F248" s="9">
        <f>VLOOKUP(A248,'Лист2'!$A$1:$F$505,4,FALSE)</f>
        <v>15</v>
      </c>
      <c r="G248" s="9">
        <f>VLOOKUP(A248,'Лист2'!$A$1:$F$505,5,FALSE)</f>
        <v>623</v>
      </c>
      <c r="H248" s="9">
        <f>VLOOKUP(A248,'Лист2'!$A$1:$F$505,6,FALSE)</f>
        <v>535</v>
      </c>
      <c r="I248" s="10">
        <f t="shared" si="2"/>
        <v>72081.1</v>
      </c>
      <c r="J248" s="10">
        <f t="shared" si="3"/>
        <v>19</v>
      </c>
    </row>
    <row r="249" ht="14.25" customHeight="1">
      <c r="A249" s="6" t="str">
        <f t="shared" si="1"/>
        <v>2020-05-04|Ростов-на-Дону</v>
      </c>
      <c r="B249" s="11">
        <v>43955.0</v>
      </c>
      <c r="C249" s="12" t="s">
        <v>20</v>
      </c>
      <c r="D249" s="12">
        <v>7087.5</v>
      </c>
      <c r="E249" s="12">
        <v>610855.5</v>
      </c>
      <c r="F249" s="9">
        <f>VLOOKUP(A249,'Лист2'!$A$1:$F$505,4,FALSE)</f>
        <v>15</v>
      </c>
      <c r="G249" s="9">
        <f>VLOOKUP(A249,'Лист2'!$A$1:$F$505,5,FALSE)</f>
        <v>390</v>
      </c>
      <c r="H249" s="9">
        <f>VLOOKUP(A249,'Лист2'!$A$1:$F$505,6,FALSE)</f>
        <v>315</v>
      </c>
      <c r="I249" s="10">
        <f t="shared" si="2"/>
        <v>40723.7</v>
      </c>
      <c r="J249" s="10">
        <f t="shared" si="3"/>
        <v>19</v>
      </c>
    </row>
    <row r="250" ht="14.25" customHeight="1">
      <c r="A250" s="6" t="str">
        <f t="shared" si="1"/>
        <v>2020-04-29|Краснодар</v>
      </c>
      <c r="B250" s="7">
        <v>43950.0</v>
      </c>
      <c r="C250" s="8" t="s">
        <v>21</v>
      </c>
      <c r="D250" s="8">
        <v>25816.5</v>
      </c>
      <c r="E250" s="8">
        <v>2360914.5</v>
      </c>
      <c r="F250" s="9">
        <f>VLOOKUP(A250,'Лист2'!$A$1:$F$505,4,FALSE)</f>
        <v>18</v>
      </c>
      <c r="G250" s="9">
        <f>VLOOKUP(A250,'Лист2'!$A$1:$F$505,5,FALSE)</f>
        <v>1599</v>
      </c>
      <c r="H250" s="9">
        <f>VLOOKUP(A250,'Лист2'!$A$1:$F$505,6,FALSE)</f>
        <v>1450</v>
      </c>
      <c r="I250" s="10">
        <f t="shared" si="2"/>
        <v>131161.9167</v>
      </c>
      <c r="J250" s="10">
        <f t="shared" si="3"/>
        <v>18</v>
      </c>
    </row>
    <row r="251" ht="14.25" customHeight="1">
      <c r="A251" s="6" t="str">
        <f t="shared" si="1"/>
        <v>2020-05-02|Ростов-на-Дону</v>
      </c>
      <c r="B251" s="11">
        <v>43953.0</v>
      </c>
      <c r="C251" s="12" t="s">
        <v>20</v>
      </c>
      <c r="D251" s="12">
        <v>4624.5</v>
      </c>
      <c r="E251" s="12">
        <v>433243.5</v>
      </c>
      <c r="F251" s="9">
        <f>VLOOKUP(A251,'Лист2'!$A$1:$F$505,4,FALSE)</f>
        <v>15</v>
      </c>
      <c r="G251" s="9">
        <f>VLOOKUP(A251,'Лист2'!$A$1:$F$505,5,FALSE)</f>
        <v>274</v>
      </c>
      <c r="H251" s="9">
        <f>VLOOKUP(A251,'Лист2'!$A$1:$F$505,6,FALSE)</f>
        <v>203</v>
      </c>
      <c r="I251" s="10">
        <f t="shared" si="2"/>
        <v>28882.9</v>
      </c>
      <c r="J251" s="10">
        <f t="shared" si="3"/>
        <v>18</v>
      </c>
    </row>
    <row r="252" ht="14.25" customHeight="1">
      <c r="A252" s="6" t="str">
        <f t="shared" si="1"/>
        <v>2020-05-26|Ростов-на-Дону</v>
      </c>
      <c r="B252" s="7">
        <v>43977.0</v>
      </c>
      <c r="C252" s="8" t="s">
        <v>20</v>
      </c>
      <c r="D252" s="8">
        <v>12259.5</v>
      </c>
      <c r="E252" s="8">
        <v>1152054.0</v>
      </c>
      <c r="F252" s="9">
        <f>VLOOKUP(A252,'Лист2'!$A$1:$F$505,4,FALSE)</f>
        <v>15</v>
      </c>
      <c r="G252" s="9">
        <f>VLOOKUP(A252,'Лист2'!$A$1:$F$505,5,FALSE)</f>
        <v>812</v>
      </c>
      <c r="H252" s="9">
        <f>VLOOKUP(A252,'Лист2'!$A$1:$F$505,6,FALSE)</f>
        <v>711</v>
      </c>
      <c r="I252" s="10">
        <f t="shared" si="2"/>
        <v>76803.6</v>
      </c>
      <c r="J252" s="10">
        <f t="shared" si="3"/>
        <v>22</v>
      </c>
    </row>
    <row r="253" ht="14.25" customHeight="1">
      <c r="A253" s="6" t="str">
        <f t="shared" si="1"/>
        <v>2020-05-01|Ростов-на-Дону</v>
      </c>
      <c r="B253" s="11">
        <v>43952.0</v>
      </c>
      <c r="C253" s="12" t="s">
        <v>20</v>
      </c>
      <c r="D253" s="12">
        <v>5446.5</v>
      </c>
      <c r="E253" s="12">
        <v>505572.0</v>
      </c>
      <c r="F253" s="9">
        <f>VLOOKUP(A253,'Лист2'!$A$1:$F$505,4,FALSE)</f>
        <v>15</v>
      </c>
      <c r="G253" s="9">
        <f>VLOOKUP(A253,'Лист2'!$A$1:$F$505,5,FALSE)</f>
        <v>294</v>
      </c>
      <c r="H253" s="9">
        <f>VLOOKUP(A253,'Лист2'!$A$1:$F$505,6,FALSE)</f>
        <v>225</v>
      </c>
      <c r="I253" s="10">
        <f t="shared" si="2"/>
        <v>33704.8</v>
      </c>
      <c r="J253" s="10">
        <f t="shared" si="3"/>
        <v>18</v>
      </c>
    </row>
    <row r="254" ht="14.25" customHeight="1">
      <c r="A254" s="6" t="str">
        <f t="shared" si="1"/>
        <v>2020-05-12|Ростов-на-Дону</v>
      </c>
      <c r="B254" s="7">
        <v>43963.0</v>
      </c>
      <c r="C254" s="8" t="s">
        <v>20</v>
      </c>
      <c r="D254" s="8">
        <v>11296.5</v>
      </c>
      <c r="E254" s="8">
        <v>989632.5</v>
      </c>
      <c r="F254" s="9">
        <f>VLOOKUP(A254,'Лист2'!$A$1:$F$505,4,FALSE)</f>
        <v>15</v>
      </c>
      <c r="G254" s="9">
        <f>VLOOKUP(A254,'Лист2'!$A$1:$F$505,5,FALSE)</f>
        <v>624</v>
      </c>
      <c r="H254" s="9">
        <f>VLOOKUP(A254,'Лист2'!$A$1:$F$505,6,FALSE)</f>
        <v>538</v>
      </c>
      <c r="I254" s="10">
        <f t="shared" si="2"/>
        <v>65975.5</v>
      </c>
      <c r="J254" s="10">
        <f t="shared" si="3"/>
        <v>20</v>
      </c>
    </row>
    <row r="255" ht="14.25" customHeight="1">
      <c r="A255" s="6" t="str">
        <f t="shared" si="1"/>
        <v>2020-05-21|Ростов-на-Дону</v>
      </c>
      <c r="B255" s="11">
        <v>43972.0</v>
      </c>
      <c r="C255" s="12" t="s">
        <v>20</v>
      </c>
      <c r="D255" s="12">
        <v>12135.0</v>
      </c>
      <c r="E255" s="12">
        <v>1103623.5</v>
      </c>
      <c r="F255" s="9">
        <f>VLOOKUP(A255,'Лист2'!$A$1:$F$505,4,FALSE)</f>
        <v>15</v>
      </c>
      <c r="G255" s="9">
        <f>VLOOKUP(A255,'Лист2'!$A$1:$F$505,5,FALSE)</f>
        <v>749</v>
      </c>
      <c r="H255" s="9">
        <f>VLOOKUP(A255,'Лист2'!$A$1:$F$505,6,FALSE)</f>
        <v>652</v>
      </c>
      <c r="I255" s="10">
        <f t="shared" si="2"/>
        <v>73574.9</v>
      </c>
      <c r="J255" s="10">
        <f t="shared" si="3"/>
        <v>21</v>
      </c>
    </row>
    <row r="256" ht="14.25" customHeight="1">
      <c r="A256" s="6" t="str">
        <f t="shared" si="1"/>
        <v>2020-05-20|Ростов-на-Дону</v>
      </c>
      <c r="B256" s="7">
        <v>43971.0</v>
      </c>
      <c r="C256" s="8" t="s">
        <v>20</v>
      </c>
      <c r="D256" s="8">
        <v>12630.0</v>
      </c>
      <c r="E256" s="8">
        <v>1104858.0</v>
      </c>
      <c r="F256" s="9">
        <f>VLOOKUP(A256,'Лист2'!$A$1:$F$505,4,FALSE)</f>
        <v>15</v>
      </c>
      <c r="G256" s="9">
        <f>VLOOKUP(A256,'Лист2'!$A$1:$F$505,5,FALSE)</f>
        <v>760</v>
      </c>
      <c r="H256" s="9">
        <f>VLOOKUP(A256,'Лист2'!$A$1:$F$505,6,FALSE)</f>
        <v>664</v>
      </c>
      <c r="I256" s="10">
        <f t="shared" si="2"/>
        <v>73657.2</v>
      </c>
      <c r="J256" s="10">
        <f t="shared" si="3"/>
        <v>21</v>
      </c>
    </row>
    <row r="257" ht="14.25" customHeight="1">
      <c r="A257" s="6" t="str">
        <f t="shared" si="1"/>
        <v>2020-05-05|Ростов-на-Дону</v>
      </c>
      <c r="B257" s="11">
        <v>43956.0</v>
      </c>
      <c r="C257" s="12" t="s">
        <v>20</v>
      </c>
      <c r="D257" s="12">
        <v>8223.0</v>
      </c>
      <c r="E257" s="12">
        <v>694593.0</v>
      </c>
      <c r="F257" s="9">
        <f>VLOOKUP(A257,'Лист2'!$A$1:$F$505,4,FALSE)</f>
        <v>15</v>
      </c>
      <c r="G257" s="9">
        <f>VLOOKUP(A257,'Лист2'!$A$1:$F$505,5,FALSE)</f>
        <v>455</v>
      </c>
      <c r="H257" s="9">
        <f>VLOOKUP(A257,'Лист2'!$A$1:$F$505,6,FALSE)</f>
        <v>381</v>
      </c>
      <c r="I257" s="10">
        <f t="shared" si="2"/>
        <v>46306.2</v>
      </c>
      <c r="J257" s="10">
        <f t="shared" si="3"/>
        <v>19</v>
      </c>
    </row>
    <row r="258" ht="14.25" customHeight="1">
      <c r="A258" s="6" t="str">
        <f t="shared" si="1"/>
        <v>2020-04-28|Краснодар</v>
      </c>
      <c r="B258" s="7">
        <v>43949.0</v>
      </c>
      <c r="C258" s="8" t="s">
        <v>21</v>
      </c>
      <c r="D258" s="8">
        <v>25149.0</v>
      </c>
      <c r="E258" s="8">
        <v>2277072.0</v>
      </c>
      <c r="F258" s="9">
        <f>VLOOKUP(A258,'Лист2'!$A$1:$F$505,4,FALSE)</f>
        <v>18</v>
      </c>
      <c r="G258" s="9">
        <f>VLOOKUP(A258,'Лист2'!$A$1:$F$505,5,FALSE)</f>
        <v>1505</v>
      </c>
      <c r="H258" s="9">
        <f>VLOOKUP(A258,'Лист2'!$A$1:$F$505,6,FALSE)</f>
        <v>1368</v>
      </c>
      <c r="I258" s="10">
        <f t="shared" si="2"/>
        <v>126504</v>
      </c>
      <c r="J258" s="10">
        <f t="shared" si="3"/>
        <v>18</v>
      </c>
    </row>
    <row r="259" ht="14.25" customHeight="1">
      <c r="A259" s="6" t="str">
        <f t="shared" si="1"/>
        <v>2020-05-13|Ростов-на-Дону</v>
      </c>
      <c r="B259" s="11">
        <v>43964.0</v>
      </c>
      <c r="C259" s="12" t="s">
        <v>20</v>
      </c>
      <c r="D259" s="12">
        <v>10401.0</v>
      </c>
      <c r="E259" s="12">
        <v>949912.5</v>
      </c>
      <c r="F259" s="9">
        <f>VLOOKUP(A259,'Лист2'!$A$1:$F$505,4,FALSE)</f>
        <v>15</v>
      </c>
      <c r="G259" s="9">
        <f>VLOOKUP(A259,'Лист2'!$A$1:$F$505,5,FALSE)</f>
        <v>599</v>
      </c>
      <c r="H259" s="9">
        <f>VLOOKUP(A259,'Лист2'!$A$1:$F$505,6,FALSE)</f>
        <v>515</v>
      </c>
      <c r="I259" s="10">
        <f t="shared" si="2"/>
        <v>63327.5</v>
      </c>
      <c r="J259" s="10">
        <f t="shared" si="3"/>
        <v>20</v>
      </c>
    </row>
    <row r="260" ht="14.25" customHeight="1">
      <c r="A260" s="6" t="str">
        <f t="shared" si="1"/>
        <v>2020-05-31|Пермь</v>
      </c>
      <c r="B260" s="7">
        <v>43982.0</v>
      </c>
      <c r="C260" s="8" t="s">
        <v>19</v>
      </c>
      <c r="D260" s="8">
        <v>17689.5</v>
      </c>
      <c r="E260" s="8">
        <v>1592119.5</v>
      </c>
      <c r="F260" s="9">
        <f>VLOOKUP(A260,'Лист2'!$A$1:$F$505,4,FALSE)</f>
        <v>17</v>
      </c>
      <c r="G260" s="9">
        <f>VLOOKUP(A260,'Лист2'!$A$1:$F$505,5,FALSE)</f>
        <v>1186</v>
      </c>
      <c r="H260" s="9">
        <f>VLOOKUP(A260,'Лист2'!$A$1:$F$505,6,FALSE)</f>
        <v>1054</v>
      </c>
      <c r="I260" s="10">
        <f t="shared" si="2"/>
        <v>93654.08824</v>
      </c>
      <c r="J260" s="10">
        <f t="shared" si="3"/>
        <v>22</v>
      </c>
    </row>
    <row r="261" ht="14.25" customHeight="1">
      <c r="A261" s="6" t="str">
        <f t="shared" si="1"/>
        <v>2020-05-03|Ростов-на-Дону</v>
      </c>
      <c r="B261" s="11">
        <v>43954.0</v>
      </c>
      <c r="C261" s="12" t="s">
        <v>20</v>
      </c>
      <c r="D261" s="12">
        <v>8127.0</v>
      </c>
      <c r="E261" s="12">
        <v>665302.5</v>
      </c>
      <c r="F261" s="9">
        <f>VLOOKUP(A261,'Лист2'!$A$1:$F$505,4,FALSE)</f>
        <v>15</v>
      </c>
      <c r="G261" s="9">
        <f>VLOOKUP(A261,'Лист2'!$A$1:$F$505,5,FALSE)</f>
        <v>455</v>
      </c>
      <c r="H261" s="9">
        <f>VLOOKUP(A261,'Лист2'!$A$1:$F$505,6,FALSE)</f>
        <v>384</v>
      </c>
      <c r="I261" s="10">
        <f t="shared" si="2"/>
        <v>44353.5</v>
      </c>
      <c r="J261" s="10">
        <f t="shared" si="3"/>
        <v>18</v>
      </c>
    </row>
    <row r="262" ht="14.25" customHeight="1">
      <c r="A262" s="6" t="str">
        <f t="shared" si="1"/>
        <v>2020-05-30|Пермь</v>
      </c>
      <c r="B262" s="7">
        <v>43981.0</v>
      </c>
      <c r="C262" s="8" t="s">
        <v>19</v>
      </c>
      <c r="D262" s="8">
        <v>27250.5</v>
      </c>
      <c r="E262" s="8">
        <v>2457252.0</v>
      </c>
      <c r="F262" s="9">
        <f>VLOOKUP(A262,'Лист2'!$A$1:$F$505,4,FALSE)</f>
        <v>17</v>
      </c>
      <c r="G262" s="9">
        <f>VLOOKUP(A262,'Лист2'!$A$1:$F$505,5,FALSE)</f>
        <v>1697</v>
      </c>
      <c r="H262" s="9">
        <f>VLOOKUP(A262,'Лист2'!$A$1:$F$505,6,FALSE)</f>
        <v>1499</v>
      </c>
      <c r="I262" s="10">
        <f t="shared" si="2"/>
        <v>144544.2353</v>
      </c>
      <c r="J262" s="10">
        <f t="shared" si="3"/>
        <v>22</v>
      </c>
    </row>
    <row r="263" ht="14.25" customHeight="1">
      <c r="A263" s="6" t="str">
        <f t="shared" si="1"/>
        <v>2020-05-06|Ростов-на-Дону</v>
      </c>
      <c r="B263" s="11">
        <v>43957.0</v>
      </c>
      <c r="C263" s="12" t="s">
        <v>20</v>
      </c>
      <c r="D263" s="12">
        <v>8464.5</v>
      </c>
      <c r="E263" s="12">
        <v>739291.5</v>
      </c>
      <c r="F263" s="9">
        <f>VLOOKUP(A263,'Лист2'!$A$1:$F$505,4,FALSE)</f>
        <v>15</v>
      </c>
      <c r="G263" s="9">
        <f>VLOOKUP(A263,'Лист2'!$A$1:$F$505,5,FALSE)</f>
        <v>467</v>
      </c>
      <c r="H263" s="9">
        <f>VLOOKUP(A263,'Лист2'!$A$1:$F$505,6,FALSE)</f>
        <v>389</v>
      </c>
      <c r="I263" s="10">
        <f t="shared" si="2"/>
        <v>49286.1</v>
      </c>
      <c r="J263" s="10">
        <f t="shared" si="3"/>
        <v>19</v>
      </c>
    </row>
    <row r="264" ht="14.25" customHeight="1">
      <c r="A264" s="6" t="str">
        <f t="shared" si="1"/>
        <v>2020-05-23|Ростов-на-Дону</v>
      </c>
      <c r="B264" s="7">
        <v>43974.0</v>
      </c>
      <c r="C264" s="8" t="s">
        <v>20</v>
      </c>
      <c r="D264" s="8">
        <v>14167.5</v>
      </c>
      <c r="E264" s="8">
        <v>1315075.5</v>
      </c>
      <c r="F264" s="9">
        <f>VLOOKUP(A264,'Лист2'!$A$1:$F$505,4,FALSE)</f>
        <v>15</v>
      </c>
      <c r="G264" s="9">
        <f>VLOOKUP(A264,'Лист2'!$A$1:$F$505,5,FALSE)</f>
        <v>840</v>
      </c>
      <c r="H264" s="9">
        <f>VLOOKUP(A264,'Лист2'!$A$1:$F$505,6,FALSE)</f>
        <v>725</v>
      </c>
      <c r="I264" s="10">
        <f t="shared" si="2"/>
        <v>87671.7</v>
      </c>
      <c r="J264" s="10">
        <f t="shared" si="3"/>
        <v>21</v>
      </c>
    </row>
    <row r="265" ht="14.25" customHeight="1">
      <c r="A265" s="6" t="str">
        <f t="shared" si="1"/>
        <v>2020-05-28|Пермь</v>
      </c>
      <c r="B265" s="11">
        <v>43979.0</v>
      </c>
      <c r="C265" s="12" t="s">
        <v>19</v>
      </c>
      <c r="D265" s="12">
        <v>16500.0</v>
      </c>
      <c r="E265" s="12">
        <v>1487928.0</v>
      </c>
      <c r="F265" s="9">
        <f>VLOOKUP(A265,'Лист2'!$A$1:$F$505,4,FALSE)</f>
        <v>17</v>
      </c>
      <c r="G265" s="9">
        <f>VLOOKUP(A265,'Лист2'!$A$1:$F$505,5,FALSE)</f>
        <v>1097</v>
      </c>
      <c r="H265" s="9">
        <f>VLOOKUP(A265,'Лист2'!$A$1:$F$505,6,FALSE)</f>
        <v>968</v>
      </c>
      <c r="I265" s="10">
        <f t="shared" si="2"/>
        <v>87525.17647</v>
      </c>
      <c r="J265" s="10">
        <f t="shared" si="3"/>
        <v>22</v>
      </c>
    </row>
    <row r="266" ht="14.25" customHeight="1">
      <c r="A266" s="6" t="str">
        <f t="shared" si="1"/>
        <v>2020-05-25|Ростов-на-Дону</v>
      </c>
      <c r="B266" s="7">
        <v>43976.0</v>
      </c>
      <c r="C266" s="8" t="s">
        <v>20</v>
      </c>
      <c r="D266" s="8">
        <v>13260.0</v>
      </c>
      <c r="E266" s="8">
        <v>1230687.0</v>
      </c>
      <c r="F266" s="9">
        <f>VLOOKUP(A266,'Лист2'!$A$1:$F$505,4,FALSE)</f>
        <v>15</v>
      </c>
      <c r="G266" s="9">
        <f>VLOOKUP(A266,'Лист2'!$A$1:$F$505,5,FALSE)</f>
        <v>835</v>
      </c>
      <c r="H266" s="9">
        <f>VLOOKUP(A266,'Лист2'!$A$1:$F$505,6,FALSE)</f>
        <v>736</v>
      </c>
      <c r="I266" s="10">
        <f t="shared" si="2"/>
        <v>82045.8</v>
      </c>
      <c r="J266" s="10">
        <f t="shared" si="3"/>
        <v>22</v>
      </c>
    </row>
    <row r="267" ht="14.25" customHeight="1">
      <c r="A267" s="6" t="str">
        <f t="shared" si="1"/>
        <v>2020-04-30|Ростов-на-Дону</v>
      </c>
      <c r="B267" s="11">
        <v>43951.0</v>
      </c>
      <c r="C267" s="12" t="s">
        <v>20</v>
      </c>
      <c r="D267" s="12">
        <v>4285.5</v>
      </c>
      <c r="E267" s="12">
        <v>404691.0</v>
      </c>
      <c r="F267" s="9">
        <f>VLOOKUP(A267,'Лист2'!$A$1:$F$505,4,FALSE)</f>
        <v>15</v>
      </c>
      <c r="G267" s="9">
        <f>VLOOKUP(A267,'Лист2'!$A$1:$F$505,5,FALSE)</f>
        <v>262</v>
      </c>
      <c r="H267" s="9">
        <f>VLOOKUP(A267,'Лист2'!$A$1:$F$505,6,FALSE)</f>
        <v>195</v>
      </c>
      <c r="I267" s="10">
        <f t="shared" si="2"/>
        <v>26979.4</v>
      </c>
      <c r="J267" s="10">
        <f t="shared" si="3"/>
        <v>18</v>
      </c>
    </row>
    <row r="268" ht="14.25" customHeight="1">
      <c r="A268" s="6" t="str">
        <f t="shared" si="1"/>
        <v>2020-05-10|Ростов-на-Дону</v>
      </c>
      <c r="B268" s="7">
        <v>43961.0</v>
      </c>
      <c r="C268" s="8" t="s">
        <v>20</v>
      </c>
      <c r="D268" s="8">
        <v>13440.0</v>
      </c>
      <c r="E268" s="8">
        <v>1198285.5</v>
      </c>
      <c r="F268" s="9">
        <f>VLOOKUP(A268,'Лист2'!$A$1:$F$505,4,FALSE)</f>
        <v>15</v>
      </c>
      <c r="G268" s="9">
        <f>VLOOKUP(A268,'Лист2'!$A$1:$F$505,5,FALSE)</f>
        <v>706</v>
      </c>
      <c r="H268" s="9">
        <f>VLOOKUP(A268,'Лист2'!$A$1:$F$505,6,FALSE)</f>
        <v>608</v>
      </c>
      <c r="I268" s="10">
        <f t="shared" si="2"/>
        <v>79885.7</v>
      </c>
      <c r="J268" s="10">
        <f t="shared" si="3"/>
        <v>19</v>
      </c>
    </row>
    <row r="269" ht="14.25" customHeight="1">
      <c r="A269" s="6" t="str">
        <f t="shared" si="1"/>
        <v>2020-05-08|Ростов-на-Дону</v>
      </c>
      <c r="B269" s="11">
        <v>43959.0</v>
      </c>
      <c r="C269" s="12" t="s">
        <v>20</v>
      </c>
      <c r="D269" s="12">
        <v>9058.5</v>
      </c>
      <c r="E269" s="12">
        <v>798759.0</v>
      </c>
      <c r="F269" s="9">
        <f>VLOOKUP(A269,'Лист2'!$A$1:$F$505,4,FALSE)</f>
        <v>15</v>
      </c>
      <c r="G269" s="9">
        <f>VLOOKUP(A269,'Лист2'!$A$1:$F$505,5,FALSE)</f>
        <v>492</v>
      </c>
      <c r="H269" s="9">
        <f>VLOOKUP(A269,'Лист2'!$A$1:$F$505,6,FALSE)</f>
        <v>412</v>
      </c>
      <c r="I269" s="10">
        <f t="shared" si="2"/>
        <v>53250.6</v>
      </c>
      <c r="J269" s="10">
        <f t="shared" si="3"/>
        <v>19</v>
      </c>
    </row>
    <row r="270" ht="14.25" customHeight="1">
      <c r="A270" s="6" t="str">
        <f t="shared" si="1"/>
        <v>2020-05-07|Ростов-на-Дону</v>
      </c>
      <c r="B270" s="7">
        <v>43958.0</v>
      </c>
      <c r="C270" s="8" t="s">
        <v>20</v>
      </c>
      <c r="D270" s="8">
        <v>8719.5</v>
      </c>
      <c r="E270" s="8">
        <v>769276.5</v>
      </c>
      <c r="F270" s="9">
        <f>VLOOKUP(A270,'Лист2'!$A$1:$F$505,4,FALSE)</f>
        <v>15</v>
      </c>
      <c r="G270" s="9">
        <f>VLOOKUP(A270,'Лист2'!$A$1:$F$505,5,FALSE)</f>
        <v>480</v>
      </c>
      <c r="H270" s="9">
        <f>VLOOKUP(A270,'Лист2'!$A$1:$F$505,6,FALSE)</f>
        <v>398</v>
      </c>
      <c r="I270" s="10">
        <f t="shared" si="2"/>
        <v>51285.1</v>
      </c>
      <c r="J270" s="10">
        <f t="shared" si="3"/>
        <v>19</v>
      </c>
    </row>
    <row r="271" ht="14.25" customHeight="1">
      <c r="A271" s="6" t="str">
        <f t="shared" si="1"/>
        <v>2020-05-24|Ростов-на-Дону</v>
      </c>
      <c r="B271" s="11">
        <v>43975.0</v>
      </c>
      <c r="C271" s="12" t="s">
        <v>20</v>
      </c>
      <c r="D271" s="12">
        <v>12666.0</v>
      </c>
      <c r="E271" s="12">
        <v>1184865.0</v>
      </c>
      <c r="F271" s="9">
        <f>VLOOKUP(A271,'Лист2'!$A$1:$F$505,4,FALSE)</f>
        <v>15</v>
      </c>
      <c r="G271" s="9">
        <f>VLOOKUP(A271,'Лист2'!$A$1:$F$505,5,FALSE)</f>
        <v>779</v>
      </c>
      <c r="H271" s="9">
        <f>VLOOKUP(A271,'Лист2'!$A$1:$F$505,6,FALSE)</f>
        <v>673</v>
      </c>
      <c r="I271" s="10">
        <f t="shared" si="2"/>
        <v>78991</v>
      </c>
      <c r="J271" s="10">
        <f t="shared" si="3"/>
        <v>21</v>
      </c>
    </row>
    <row r="272" ht="14.25" customHeight="1">
      <c r="A272" s="6" t="str">
        <f t="shared" si="1"/>
        <v>2020-05-16|Краснодар</v>
      </c>
      <c r="B272" s="7">
        <v>43967.0</v>
      </c>
      <c r="C272" s="8" t="s">
        <v>21</v>
      </c>
      <c r="D272" s="8">
        <v>34563.0</v>
      </c>
      <c r="E272" s="8">
        <v>2922883.5</v>
      </c>
      <c r="F272" s="9">
        <f>VLOOKUP(A272,'Лист2'!$A$1:$F$505,4,FALSE)</f>
        <v>19</v>
      </c>
      <c r="G272" s="9">
        <f>VLOOKUP(A272,'Лист2'!$A$1:$F$505,5,FALSE)</f>
        <v>2039</v>
      </c>
      <c r="H272" s="9">
        <f>VLOOKUP(A272,'Лист2'!$A$1:$F$505,6,FALSE)</f>
        <v>1868</v>
      </c>
      <c r="I272" s="10">
        <f t="shared" si="2"/>
        <v>153835.9737</v>
      </c>
      <c r="J272" s="10">
        <f t="shared" si="3"/>
        <v>20</v>
      </c>
    </row>
    <row r="273" ht="14.25" customHeight="1">
      <c r="A273" s="6" t="str">
        <f t="shared" si="1"/>
        <v>2020-05-19|Краснодар</v>
      </c>
      <c r="B273" s="11">
        <v>43970.0</v>
      </c>
      <c r="C273" s="12" t="s">
        <v>21</v>
      </c>
      <c r="D273" s="12">
        <v>28882.5</v>
      </c>
      <c r="E273" s="12">
        <v>2446530.0</v>
      </c>
      <c r="F273" s="9">
        <f>VLOOKUP(A273,'Лист2'!$A$1:$F$505,4,FALSE)</f>
        <v>19</v>
      </c>
      <c r="G273" s="9">
        <f>VLOOKUP(A273,'Лист2'!$A$1:$F$505,5,FALSE)</f>
        <v>1831</v>
      </c>
      <c r="H273" s="9">
        <f>VLOOKUP(A273,'Лист2'!$A$1:$F$505,6,FALSE)</f>
        <v>1667</v>
      </c>
      <c r="I273" s="10">
        <f t="shared" si="2"/>
        <v>128764.7368</v>
      </c>
      <c r="J273" s="10">
        <f t="shared" si="3"/>
        <v>21</v>
      </c>
    </row>
    <row r="274" ht="14.25" customHeight="1">
      <c r="A274" s="6" t="str">
        <f t="shared" si="1"/>
        <v>2020-05-17|Краснодар</v>
      </c>
      <c r="B274" s="7">
        <v>43968.0</v>
      </c>
      <c r="C274" s="8" t="s">
        <v>21</v>
      </c>
      <c r="D274" s="8">
        <v>28275.0</v>
      </c>
      <c r="E274" s="8">
        <v>2435632.5</v>
      </c>
      <c r="F274" s="9">
        <f>VLOOKUP(A274,'Лист2'!$A$1:$F$505,4,FALSE)</f>
        <v>19</v>
      </c>
      <c r="G274" s="9">
        <f>VLOOKUP(A274,'Лист2'!$A$1:$F$505,5,FALSE)</f>
        <v>1790</v>
      </c>
      <c r="H274" s="9">
        <f>VLOOKUP(A274,'Лист2'!$A$1:$F$505,6,FALSE)</f>
        <v>1633</v>
      </c>
      <c r="I274" s="10">
        <f t="shared" si="2"/>
        <v>128191.1842</v>
      </c>
      <c r="J274" s="10">
        <f t="shared" si="3"/>
        <v>20</v>
      </c>
    </row>
    <row r="275" ht="14.25" customHeight="1">
      <c r="A275" s="6" t="str">
        <f t="shared" si="1"/>
        <v>2020-05-09|Краснодар</v>
      </c>
      <c r="B275" s="11">
        <v>43960.0</v>
      </c>
      <c r="C275" s="12" t="s">
        <v>21</v>
      </c>
      <c r="D275" s="12">
        <v>26271.0</v>
      </c>
      <c r="E275" s="12">
        <v>2384937.0</v>
      </c>
      <c r="F275" s="9">
        <f>VLOOKUP(A275,'Лист2'!$A$1:$F$505,4,FALSE)</f>
        <v>19</v>
      </c>
      <c r="G275" s="9">
        <f>VLOOKUP(A275,'Лист2'!$A$1:$F$505,5,FALSE)</f>
        <v>1542</v>
      </c>
      <c r="H275" s="9">
        <f>VLOOKUP(A275,'Лист2'!$A$1:$F$505,6,FALSE)</f>
        <v>1412</v>
      </c>
      <c r="I275" s="10">
        <f t="shared" si="2"/>
        <v>125523</v>
      </c>
      <c r="J275" s="10">
        <f t="shared" si="3"/>
        <v>19</v>
      </c>
    </row>
    <row r="276" ht="14.25" customHeight="1">
      <c r="A276" s="6" t="str">
        <f t="shared" si="1"/>
        <v>2020-05-04|Краснодар</v>
      </c>
      <c r="B276" s="7">
        <v>43955.0</v>
      </c>
      <c r="C276" s="8" t="s">
        <v>21</v>
      </c>
      <c r="D276" s="8">
        <v>23587.5</v>
      </c>
      <c r="E276" s="8">
        <v>2155668.0</v>
      </c>
      <c r="F276" s="9">
        <f>VLOOKUP(A276,'Лист2'!$A$1:$F$505,4,FALSE)</f>
        <v>19</v>
      </c>
      <c r="G276" s="9">
        <f>VLOOKUP(A276,'Лист2'!$A$1:$F$505,5,FALSE)</f>
        <v>1479</v>
      </c>
      <c r="H276" s="9">
        <f>VLOOKUP(A276,'Лист2'!$A$1:$F$505,6,FALSE)</f>
        <v>1346</v>
      </c>
      <c r="I276" s="10">
        <f t="shared" si="2"/>
        <v>113456.2105</v>
      </c>
      <c r="J276" s="10">
        <f t="shared" si="3"/>
        <v>19</v>
      </c>
    </row>
    <row r="277" ht="14.25" customHeight="1">
      <c r="A277" s="6" t="str">
        <f t="shared" si="1"/>
        <v>2020-05-02|Краснодар</v>
      </c>
      <c r="B277" s="11">
        <v>43953.0</v>
      </c>
      <c r="C277" s="12" t="s">
        <v>21</v>
      </c>
      <c r="D277" s="12">
        <v>18427.5</v>
      </c>
      <c r="E277" s="12">
        <v>1682851.5</v>
      </c>
      <c r="F277" s="9">
        <f>VLOOKUP(A277,'Лист2'!$A$1:$F$505,4,FALSE)</f>
        <v>19</v>
      </c>
      <c r="G277" s="9">
        <f>VLOOKUP(A277,'Лист2'!$A$1:$F$505,5,FALSE)</f>
        <v>1206</v>
      </c>
      <c r="H277" s="9">
        <f>VLOOKUP(A277,'Лист2'!$A$1:$F$505,6,FALSE)</f>
        <v>1080</v>
      </c>
      <c r="I277" s="10">
        <f t="shared" si="2"/>
        <v>88571.13158</v>
      </c>
      <c r="J277" s="10">
        <f t="shared" si="3"/>
        <v>18</v>
      </c>
    </row>
    <row r="278" ht="14.25" customHeight="1">
      <c r="A278" s="6" t="str">
        <f t="shared" si="1"/>
        <v>2020-05-26|Краснодар</v>
      </c>
      <c r="B278" s="7">
        <v>43977.0</v>
      </c>
      <c r="C278" s="8" t="s">
        <v>21</v>
      </c>
      <c r="D278" s="8">
        <v>27156.0</v>
      </c>
      <c r="E278" s="8">
        <v>2410803.0</v>
      </c>
      <c r="F278" s="9">
        <f>VLOOKUP(A278,'Лист2'!$A$1:$F$505,4,FALSE)</f>
        <v>20</v>
      </c>
      <c r="G278" s="9">
        <f>VLOOKUP(A278,'Лист2'!$A$1:$F$505,5,FALSE)</f>
        <v>1814</v>
      </c>
      <c r="H278" s="9">
        <f>VLOOKUP(A278,'Лист2'!$A$1:$F$505,6,FALSE)</f>
        <v>1655</v>
      </c>
      <c r="I278" s="10">
        <f t="shared" si="2"/>
        <v>120540.15</v>
      </c>
      <c r="J278" s="10">
        <f t="shared" si="3"/>
        <v>22</v>
      </c>
    </row>
    <row r="279" ht="14.25" customHeight="1">
      <c r="A279" s="6" t="str">
        <f t="shared" si="1"/>
        <v>2020-05-01|Краснодар</v>
      </c>
      <c r="B279" s="11">
        <v>43952.0</v>
      </c>
      <c r="C279" s="12" t="s">
        <v>21</v>
      </c>
      <c r="D279" s="12">
        <v>35190.0</v>
      </c>
      <c r="E279" s="12">
        <v>3168510.0</v>
      </c>
      <c r="F279" s="9">
        <f>VLOOKUP(A279,'Лист2'!$A$1:$F$505,4,FALSE)</f>
        <v>19</v>
      </c>
      <c r="G279" s="9">
        <f>VLOOKUP(A279,'Лист2'!$A$1:$F$505,5,FALSE)</f>
        <v>1987</v>
      </c>
      <c r="H279" s="9">
        <f>VLOOKUP(A279,'Лист2'!$A$1:$F$505,6,FALSE)</f>
        <v>1791</v>
      </c>
      <c r="I279" s="10">
        <f t="shared" si="2"/>
        <v>166763.6842</v>
      </c>
      <c r="J279" s="10">
        <f t="shared" si="3"/>
        <v>18</v>
      </c>
    </row>
    <row r="280" ht="14.25" customHeight="1">
      <c r="A280" s="6" t="str">
        <f t="shared" si="1"/>
        <v>2020-05-12|Краснодар</v>
      </c>
      <c r="B280" s="7">
        <v>43963.0</v>
      </c>
      <c r="C280" s="8" t="s">
        <v>21</v>
      </c>
      <c r="D280" s="8">
        <v>25483.5</v>
      </c>
      <c r="E280" s="8">
        <v>2243160.0</v>
      </c>
      <c r="F280" s="9">
        <f>VLOOKUP(A280,'Лист2'!$A$1:$F$505,4,FALSE)</f>
        <v>19</v>
      </c>
      <c r="G280" s="9">
        <f>VLOOKUP(A280,'Лист2'!$A$1:$F$505,5,FALSE)</f>
        <v>1598</v>
      </c>
      <c r="H280" s="9">
        <f>VLOOKUP(A280,'Лист2'!$A$1:$F$505,6,FALSE)</f>
        <v>1454</v>
      </c>
      <c r="I280" s="10">
        <f t="shared" si="2"/>
        <v>118061.0526</v>
      </c>
      <c r="J280" s="10">
        <f t="shared" si="3"/>
        <v>20</v>
      </c>
    </row>
    <row r="281" ht="14.25" customHeight="1">
      <c r="A281" s="6" t="str">
        <f t="shared" si="1"/>
        <v>2020-05-21|Краснодар</v>
      </c>
      <c r="B281" s="11">
        <v>43972.0</v>
      </c>
      <c r="C281" s="12" t="s">
        <v>21</v>
      </c>
      <c r="D281" s="12">
        <v>25362.0</v>
      </c>
      <c r="E281" s="12">
        <v>2198935.5</v>
      </c>
      <c r="F281" s="9">
        <f>VLOOKUP(A281,'Лист2'!$A$1:$F$505,4,FALSE)</f>
        <v>19</v>
      </c>
      <c r="G281" s="9">
        <f>VLOOKUP(A281,'Лист2'!$A$1:$F$505,5,FALSE)</f>
        <v>1650</v>
      </c>
      <c r="H281" s="9">
        <f>VLOOKUP(A281,'Лист2'!$A$1:$F$505,6,FALSE)</f>
        <v>1505</v>
      </c>
      <c r="I281" s="10">
        <f t="shared" si="2"/>
        <v>115733.4474</v>
      </c>
      <c r="J281" s="10">
        <f t="shared" si="3"/>
        <v>21</v>
      </c>
    </row>
    <row r="282" ht="14.25" customHeight="1">
      <c r="A282" s="6" t="str">
        <f t="shared" si="1"/>
        <v>2020-05-20|Краснодар</v>
      </c>
      <c r="B282" s="7">
        <v>43971.0</v>
      </c>
      <c r="C282" s="8" t="s">
        <v>21</v>
      </c>
      <c r="D282" s="8">
        <v>28849.5</v>
      </c>
      <c r="E282" s="8">
        <v>2520759.0</v>
      </c>
      <c r="F282" s="9">
        <f>VLOOKUP(A282,'Лист2'!$A$1:$F$505,4,FALSE)</f>
        <v>19</v>
      </c>
      <c r="G282" s="9">
        <f>VLOOKUP(A282,'Лист2'!$A$1:$F$505,5,FALSE)</f>
        <v>1823</v>
      </c>
      <c r="H282" s="9">
        <f>VLOOKUP(A282,'Лист2'!$A$1:$F$505,6,FALSE)</f>
        <v>1678</v>
      </c>
      <c r="I282" s="10">
        <f t="shared" si="2"/>
        <v>132671.5263</v>
      </c>
      <c r="J282" s="10">
        <f t="shared" si="3"/>
        <v>21</v>
      </c>
    </row>
    <row r="283" ht="14.25" customHeight="1">
      <c r="A283" s="6" t="str">
        <f t="shared" si="1"/>
        <v>2020-05-05|Краснодар</v>
      </c>
      <c r="B283" s="11">
        <v>43956.0</v>
      </c>
      <c r="C283" s="12" t="s">
        <v>21</v>
      </c>
      <c r="D283" s="12">
        <v>26367.0</v>
      </c>
      <c r="E283" s="12">
        <v>2380333.5</v>
      </c>
      <c r="F283" s="9">
        <f>VLOOKUP(A283,'Лист2'!$A$1:$F$505,4,FALSE)</f>
        <v>19</v>
      </c>
      <c r="G283" s="9">
        <f>VLOOKUP(A283,'Лист2'!$A$1:$F$505,5,FALSE)</f>
        <v>1622</v>
      </c>
      <c r="H283" s="9">
        <f>VLOOKUP(A283,'Лист2'!$A$1:$F$505,6,FALSE)</f>
        <v>1482</v>
      </c>
      <c r="I283" s="10">
        <f t="shared" si="2"/>
        <v>125280.7105</v>
      </c>
      <c r="J283" s="10">
        <f t="shared" si="3"/>
        <v>19</v>
      </c>
    </row>
    <row r="284" ht="14.25" customHeight="1">
      <c r="A284" s="6" t="str">
        <f t="shared" si="1"/>
        <v>2020-05-13|Краснодар</v>
      </c>
      <c r="B284" s="7">
        <v>43964.0</v>
      </c>
      <c r="C284" s="8" t="s">
        <v>21</v>
      </c>
      <c r="D284" s="8">
        <v>25539.0</v>
      </c>
      <c r="E284" s="8">
        <v>2263651.5</v>
      </c>
      <c r="F284" s="9">
        <f>VLOOKUP(A284,'Лист2'!$A$1:$F$505,4,FALSE)</f>
        <v>19</v>
      </c>
      <c r="G284" s="9">
        <f>VLOOKUP(A284,'Лист2'!$A$1:$F$505,5,FALSE)</f>
        <v>1605</v>
      </c>
      <c r="H284" s="9">
        <f>VLOOKUP(A284,'Лист2'!$A$1:$F$505,6,FALSE)</f>
        <v>1447</v>
      </c>
      <c r="I284" s="10">
        <f t="shared" si="2"/>
        <v>119139.5526</v>
      </c>
      <c r="J284" s="10">
        <f t="shared" si="3"/>
        <v>20</v>
      </c>
    </row>
    <row r="285" ht="14.25" customHeight="1">
      <c r="A285" s="6" t="str">
        <f t="shared" si="1"/>
        <v>2020-05-31|Ростов-на-Дону</v>
      </c>
      <c r="B285" s="11">
        <v>43982.0</v>
      </c>
      <c r="C285" s="12" t="s">
        <v>20</v>
      </c>
      <c r="D285" s="12">
        <v>14808.0</v>
      </c>
      <c r="E285" s="12">
        <v>1336789.5</v>
      </c>
      <c r="F285" s="9">
        <f>VLOOKUP(A285,'Лист2'!$A$1:$F$505,4,FALSE)</f>
        <v>16</v>
      </c>
      <c r="G285" s="9">
        <f>VLOOKUP(A285,'Лист2'!$A$1:$F$505,5,FALSE)</f>
        <v>917</v>
      </c>
      <c r="H285" s="9">
        <f>VLOOKUP(A285,'Лист2'!$A$1:$F$505,6,FALSE)</f>
        <v>802</v>
      </c>
      <c r="I285" s="10">
        <f t="shared" si="2"/>
        <v>83549.34375</v>
      </c>
      <c r="J285" s="10">
        <f t="shared" si="3"/>
        <v>22</v>
      </c>
    </row>
    <row r="286" ht="14.25" customHeight="1">
      <c r="A286" s="6" t="str">
        <f t="shared" si="1"/>
        <v>2020-05-03|Краснодар</v>
      </c>
      <c r="B286" s="7">
        <v>43954.0</v>
      </c>
      <c r="C286" s="8" t="s">
        <v>21</v>
      </c>
      <c r="D286" s="8">
        <v>21343.5</v>
      </c>
      <c r="E286" s="8">
        <v>1906557.0</v>
      </c>
      <c r="F286" s="9">
        <f>VLOOKUP(A286,'Лист2'!$A$1:$F$505,4,FALSE)</f>
        <v>19</v>
      </c>
      <c r="G286" s="9">
        <f>VLOOKUP(A286,'Лист2'!$A$1:$F$505,5,FALSE)</f>
        <v>1314</v>
      </c>
      <c r="H286" s="9">
        <f>VLOOKUP(A286,'Лист2'!$A$1:$F$505,6,FALSE)</f>
        <v>1192</v>
      </c>
      <c r="I286" s="10">
        <f t="shared" si="2"/>
        <v>100345.1053</v>
      </c>
      <c r="J286" s="10">
        <f t="shared" si="3"/>
        <v>18</v>
      </c>
    </row>
    <row r="287" ht="14.25" customHeight="1">
      <c r="A287" s="6" t="str">
        <f t="shared" si="1"/>
        <v>2020-05-30|Ростов-на-Дону</v>
      </c>
      <c r="B287" s="11">
        <v>43981.0</v>
      </c>
      <c r="C287" s="12" t="s">
        <v>20</v>
      </c>
      <c r="D287" s="12">
        <v>17946.0</v>
      </c>
      <c r="E287" s="12">
        <v>1609090.5</v>
      </c>
      <c r="F287" s="9">
        <f>VLOOKUP(A287,'Лист2'!$A$1:$F$505,4,FALSE)</f>
        <v>16</v>
      </c>
      <c r="G287" s="9">
        <f>VLOOKUP(A287,'Лист2'!$A$1:$F$505,5,FALSE)</f>
        <v>1048</v>
      </c>
      <c r="H287" s="9">
        <f>VLOOKUP(A287,'Лист2'!$A$1:$F$505,6,FALSE)</f>
        <v>918</v>
      </c>
      <c r="I287" s="10">
        <f t="shared" si="2"/>
        <v>100568.1563</v>
      </c>
      <c r="J287" s="10">
        <f t="shared" si="3"/>
        <v>22</v>
      </c>
    </row>
    <row r="288" ht="14.25" customHeight="1">
      <c r="A288" s="6" t="str">
        <f t="shared" si="1"/>
        <v>2020-05-06|Краснодар</v>
      </c>
      <c r="B288" s="7">
        <v>43957.0</v>
      </c>
      <c r="C288" s="8" t="s">
        <v>21</v>
      </c>
      <c r="D288" s="8">
        <v>24337.5</v>
      </c>
      <c r="E288" s="8">
        <v>2159350.5</v>
      </c>
      <c r="F288" s="9">
        <f>VLOOKUP(A288,'Лист2'!$A$1:$F$505,4,FALSE)</f>
        <v>19</v>
      </c>
      <c r="G288" s="9">
        <f>VLOOKUP(A288,'Лист2'!$A$1:$F$505,5,FALSE)</f>
        <v>1509</v>
      </c>
      <c r="H288" s="9">
        <f>VLOOKUP(A288,'Лист2'!$A$1:$F$505,6,FALSE)</f>
        <v>1374</v>
      </c>
      <c r="I288" s="10">
        <f t="shared" si="2"/>
        <v>113650.0263</v>
      </c>
      <c r="J288" s="10">
        <f t="shared" si="3"/>
        <v>19</v>
      </c>
    </row>
    <row r="289" ht="14.25" customHeight="1">
      <c r="A289" s="6" t="str">
        <f t="shared" si="1"/>
        <v>2020-05-23|Краснодар</v>
      </c>
      <c r="B289" s="11">
        <v>43974.0</v>
      </c>
      <c r="C289" s="12" t="s">
        <v>21</v>
      </c>
      <c r="D289" s="12">
        <v>36997.5</v>
      </c>
      <c r="E289" s="12">
        <v>3089140.5</v>
      </c>
      <c r="F289" s="9">
        <f>VLOOKUP(A289,'Лист2'!$A$1:$F$505,4,FALSE)</f>
        <v>19</v>
      </c>
      <c r="G289" s="9">
        <f>VLOOKUP(A289,'Лист2'!$A$1:$F$505,5,FALSE)</f>
        <v>2195</v>
      </c>
      <c r="H289" s="9">
        <f>VLOOKUP(A289,'Лист2'!$A$1:$F$505,6,FALSE)</f>
        <v>1999</v>
      </c>
      <c r="I289" s="10">
        <f t="shared" si="2"/>
        <v>162586.3421</v>
      </c>
      <c r="J289" s="10">
        <f t="shared" si="3"/>
        <v>21</v>
      </c>
    </row>
    <row r="290" ht="14.25" customHeight="1">
      <c r="A290" s="6" t="str">
        <f t="shared" si="1"/>
        <v>2020-05-28|Ростов-на-Дону</v>
      </c>
      <c r="B290" s="7">
        <v>43979.0</v>
      </c>
      <c r="C290" s="8" t="s">
        <v>20</v>
      </c>
      <c r="D290" s="8">
        <v>13864.5</v>
      </c>
      <c r="E290" s="8">
        <v>1239747.0</v>
      </c>
      <c r="F290" s="9">
        <f>VLOOKUP(A290,'Лист2'!$A$1:$F$505,4,FALSE)</f>
        <v>16</v>
      </c>
      <c r="G290" s="9">
        <f>VLOOKUP(A290,'Лист2'!$A$1:$F$505,5,FALSE)</f>
        <v>876</v>
      </c>
      <c r="H290" s="9">
        <f>VLOOKUP(A290,'Лист2'!$A$1:$F$505,6,FALSE)</f>
        <v>762</v>
      </c>
      <c r="I290" s="10">
        <f t="shared" si="2"/>
        <v>77484.1875</v>
      </c>
      <c r="J290" s="10">
        <f t="shared" si="3"/>
        <v>22</v>
      </c>
    </row>
    <row r="291" ht="14.25" customHeight="1">
      <c r="A291" s="6" t="str">
        <f t="shared" si="1"/>
        <v>2020-05-25|Краснодар</v>
      </c>
      <c r="B291" s="11">
        <v>43976.0</v>
      </c>
      <c r="C291" s="12" t="s">
        <v>21</v>
      </c>
      <c r="D291" s="12">
        <v>28494.0</v>
      </c>
      <c r="E291" s="12">
        <v>2512803.0</v>
      </c>
      <c r="F291" s="9">
        <f>VLOOKUP(A291,'Лист2'!$A$1:$F$505,4,FALSE)</f>
        <v>20</v>
      </c>
      <c r="G291" s="9">
        <f>VLOOKUP(A291,'Лист2'!$A$1:$F$505,5,FALSE)</f>
        <v>1899</v>
      </c>
      <c r="H291" s="9">
        <f>VLOOKUP(A291,'Лист2'!$A$1:$F$505,6,FALSE)</f>
        <v>1738</v>
      </c>
      <c r="I291" s="10">
        <f t="shared" si="2"/>
        <v>125640.15</v>
      </c>
      <c r="J291" s="10">
        <f t="shared" si="3"/>
        <v>22</v>
      </c>
    </row>
    <row r="292" ht="14.25" customHeight="1">
      <c r="A292" s="6" t="str">
        <f t="shared" si="1"/>
        <v>2020-04-30|Краснодар</v>
      </c>
      <c r="B292" s="7">
        <v>43951.0</v>
      </c>
      <c r="C292" s="8" t="s">
        <v>21</v>
      </c>
      <c r="D292" s="8">
        <v>27883.5</v>
      </c>
      <c r="E292" s="8">
        <v>2560080.0</v>
      </c>
      <c r="F292" s="9">
        <f>VLOOKUP(A292,'Лист2'!$A$1:$F$505,4,FALSE)</f>
        <v>19</v>
      </c>
      <c r="G292" s="9">
        <f>VLOOKUP(A292,'Лист2'!$A$1:$F$505,5,FALSE)</f>
        <v>1662</v>
      </c>
      <c r="H292" s="9">
        <f>VLOOKUP(A292,'Лист2'!$A$1:$F$505,6,FALSE)</f>
        <v>1506</v>
      </c>
      <c r="I292" s="10">
        <f t="shared" si="2"/>
        <v>134741.0526</v>
      </c>
      <c r="J292" s="10">
        <f t="shared" si="3"/>
        <v>18</v>
      </c>
    </row>
    <row r="293" ht="14.25" customHeight="1">
      <c r="A293" s="6" t="str">
        <f t="shared" si="1"/>
        <v>2020-05-10|Краснодар</v>
      </c>
      <c r="B293" s="11">
        <v>43961.0</v>
      </c>
      <c r="C293" s="12" t="s">
        <v>21</v>
      </c>
      <c r="D293" s="12">
        <v>31224.0</v>
      </c>
      <c r="E293" s="12">
        <v>2767270.5</v>
      </c>
      <c r="F293" s="9">
        <f>VLOOKUP(A293,'Лист2'!$A$1:$F$505,4,FALSE)</f>
        <v>19</v>
      </c>
      <c r="G293" s="9">
        <f>VLOOKUP(A293,'Лист2'!$A$1:$F$505,5,FALSE)</f>
        <v>1836</v>
      </c>
      <c r="H293" s="9">
        <f>VLOOKUP(A293,'Лист2'!$A$1:$F$505,6,FALSE)</f>
        <v>1680</v>
      </c>
      <c r="I293" s="10">
        <f t="shared" si="2"/>
        <v>145645.8158</v>
      </c>
      <c r="J293" s="10">
        <f t="shared" si="3"/>
        <v>19</v>
      </c>
    </row>
    <row r="294" ht="14.25" customHeight="1">
      <c r="A294" s="6" t="str">
        <f t="shared" si="1"/>
        <v>2020-05-08|Краснодар</v>
      </c>
      <c r="B294" s="7">
        <v>43959.0</v>
      </c>
      <c r="C294" s="8" t="s">
        <v>21</v>
      </c>
      <c r="D294" s="8">
        <v>25020.0</v>
      </c>
      <c r="E294" s="8">
        <v>2235960.0</v>
      </c>
      <c r="F294" s="9">
        <f>VLOOKUP(A294,'Лист2'!$A$1:$F$505,4,FALSE)</f>
        <v>19</v>
      </c>
      <c r="G294" s="9">
        <f>VLOOKUP(A294,'Лист2'!$A$1:$F$505,5,FALSE)</f>
        <v>1520</v>
      </c>
      <c r="H294" s="9">
        <f>VLOOKUP(A294,'Лист2'!$A$1:$F$505,6,FALSE)</f>
        <v>1380</v>
      </c>
      <c r="I294" s="10">
        <f t="shared" si="2"/>
        <v>117682.1053</v>
      </c>
      <c r="J294" s="10">
        <f t="shared" si="3"/>
        <v>19</v>
      </c>
    </row>
    <row r="295" ht="14.25" customHeight="1">
      <c r="A295" s="6" t="str">
        <f t="shared" si="1"/>
        <v>2020-05-07|Краснодар</v>
      </c>
      <c r="B295" s="11">
        <v>43958.0</v>
      </c>
      <c r="C295" s="12" t="s">
        <v>21</v>
      </c>
      <c r="D295" s="12">
        <v>26184.0</v>
      </c>
      <c r="E295" s="12">
        <v>2308336.5</v>
      </c>
      <c r="F295" s="9">
        <f>VLOOKUP(A295,'Лист2'!$A$1:$F$505,4,FALSE)</f>
        <v>19</v>
      </c>
      <c r="G295" s="9">
        <f>VLOOKUP(A295,'Лист2'!$A$1:$F$505,5,FALSE)</f>
        <v>1580</v>
      </c>
      <c r="H295" s="9">
        <f>VLOOKUP(A295,'Лист2'!$A$1:$F$505,6,FALSE)</f>
        <v>1435</v>
      </c>
      <c r="I295" s="10">
        <f t="shared" si="2"/>
        <v>121491.3947</v>
      </c>
      <c r="J295" s="10">
        <f t="shared" si="3"/>
        <v>19</v>
      </c>
    </row>
    <row r="296" ht="14.25" customHeight="1">
      <c r="A296" s="6" t="str">
        <f t="shared" si="1"/>
        <v>2020-05-24|Краснодар</v>
      </c>
      <c r="B296" s="7">
        <v>43975.0</v>
      </c>
      <c r="C296" s="8" t="s">
        <v>21</v>
      </c>
      <c r="D296" s="8">
        <v>29824.5</v>
      </c>
      <c r="E296" s="8">
        <v>2526909.0</v>
      </c>
      <c r="F296" s="9">
        <f>VLOOKUP(A296,'Лист2'!$A$1:$F$505,4,FALSE)</f>
        <v>19</v>
      </c>
      <c r="G296" s="9">
        <f>VLOOKUP(A296,'Лист2'!$A$1:$F$505,5,FALSE)</f>
        <v>1868</v>
      </c>
      <c r="H296" s="9">
        <f>VLOOKUP(A296,'Лист2'!$A$1:$F$505,6,FALSE)</f>
        <v>1706</v>
      </c>
      <c r="I296" s="10">
        <f t="shared" si="2"/>
        <v>132995.2105</v>
      </c>
      <c r="J296" s="10">
        <f t="shared" si="3"/>
        <v>21</v>
      </c>
    </row>
    <row r="297" ht="14.25" customHeight="1">
      <c r="A297" s="6" t="str">
        <f t="shared" si="1"/>
        <v>2020-04-29|Москва Запад</v>
      </c>
      <c r="B297" s="11">
        <v>43950.0</v>
      </c>
      <c r="C297" s="12" t="s">
        <v>22</v>
      </c>
      <c r="D297" s="12">
        <v>208351.5</v>
      </c>
      <c r="E297" s="12">
        <v>2.1615333E7</v>
      </c>
      <c r="F297" s="9">
        <f>VLOOKUP(A297,'Лист2'!$A$1:$F$505,4,FALSE)</f>
        <v>59</v>
      </c>
      <c r="G297" s="9">
        <f>VLOOKUP(A297,'Лист2'!$A$1:$F$505,5,FALSE)</f>
        <v>13186</v>
      </c>
      <c r="H297" s="9">
        <f>VLOOKUP(A297,'Лист2'!$A$1:$F$505,6,FALSE)</f>
        <v>12251</v>
      </c>
      <c r="I297" s="10">
        <f t="shared" si="2"/>
        <v>366361.5763</v>
      </c>
      <c r="J297" s="10">
        <f t="shared" si="3"/>
        <v>18</v>
      </c>
    </row>
    <row r="298" ht="14.25" customHeight="1">
      <c r="A298" s="6" t="str">
        <f t="shared" si="1"/>
        <v>2020-04-28|Москва Запад</v>
      </c>
      <c r="B298" s="7">
        <v>43949.0</v>
      </c>
      <c r="C298" s="8" t="s">
        <v>22</v>
      </c>
      <c r="D298" s="8">
        <v>204637.5</v>
      </c>
      <c r="E298" s="8">
        <v>2.11148985E7</v>
      </c>
      <c r="F298" s="9">
        <f>VLOOKUP(A298,'Лист2'!$A$1:$F$505,4,FALSE)</f>
        <v>59</v>
      </c>
      <c r="G298" s="9">
        <f>VLOOKUP(A298,'Лист2'!$A$1:$F$505,5,FALSE)</f>
        <v>12943</v>
      </c>
      <c r="H298" s="9">
        <f>VLOOKUP(A298,'Лист2'!$A$1:$F$505,6,FALSE)</f>
        <v>12072</v>
      </c>
      <c r="I298" s="10">
        <f t="shared" si="2"/>
        <v>357879.6356</v>
      </c>
      <c r="J298" s="10">
        <f t="shared" si="3"/>
        <v>18</v>
      </c>
    </row>
    <row r="299" ht="14.25" customHeight="1">
      <c r="A299" s="6" t="str">
        <f t="shared" si="1"/>
        <v>2020-05-31|Краснодар</v>
      </c>
      <c r="B299" s="11">
        <v>43982.0</v>
      </c>
      <c r="C299" s="12" t="s">
        <v>21</v>
      </c>
      <c r="D299" s="12">
        <v>31372.5</v>
      </c>
      <c r="E299" s="12">
        <v>2794324.5</v>
      </c>
      <c r="F299" s="9">
        <f>VLOOKUP(A299,'Лист2'!$A$1:$F$505,4,FALSE)</f>
        <v>21</v>
      </c>
      <c r="G299" s="9">
        <f>VLOOKUP(A299,'Лист2'!$A$1:$F$505,5,FALSE)</f>
        <v>2056</v>
      </c>
      <c r="H299" s="9">
        <f>VLOOKUP(A299,'Лист2'!$A$1:$F$505,6,FALSE)</f>
        <v>1879</v>
      </c>
      <c r="I299" s="10">
        <f t="shared" si="2"/>
        <v>133063.0714</v>
      </c>
      <c r="J299" s="10">
        <f t="shared" si="3"/>
        <v>22</v>
      </c>
    </row>
    <row r="300" ht="14.25" customHeight="1">
      <c r="A300" s="6" t="str">
        <f t="shared" si="1"/>
        <v>2020-05-30|Краснодар</v>
      </c>
      <c r="B300" s="7">
        <v>43981.0</v>
      </c>
      <c r="C300" s="8" t="s">
        <v>21</v>
      </c>
      <c r="D300" s="8">
        <v>34681.5</v>
      </c>
      <c r="E300" s="8">
        <v>3005334.0</v>
      </c>
      <c r="F300" s="9">
        <f>VLOOKUP(A300,'Лист2'!$A$1:$F$505,4,FALSE)</f>
        <v>20</v>
      </c>
      <c r="G300" s="9">
        <f>VLOOKUP(A300,'Лист2'!$A$1:$F$505,5,FALSE)</f>
        <v>2174</v>
      </c>
      <c r="H300" s="9">
        <f>VLOOKUP(A300,'Лист2'!$A$1:$F$505,6,FALSE)</f>
        <v>1957</v>
      </c>
      <c r="I300" s="10">
        <f t="shared" si="2"/>
        <v>150266.7</v>
      </c>
      <c r="J300" s="10">
        <f t="shared" si="3"/>
        <v>22</v>
      </c>
    </row>
    <row r="301" ht="14.25" customHeight="1">
      <c r="A301" s="6" t="str">
        <f t="shared" si="1"/>
        <v>2020-05-28|Краснодар</v>
      </c>
      <c r="B301" s="11">
        <v>43979.0</v>
      </c>
      <c r="C301" s="12" t="s">
        <v>21</v>
      </c>
      <c r="D301" s="12">
        <v>28197.0</v>
      </c>
      <c r="E301" s="12">
        <v>2559211.5</v>
      </c>
      <c r="F301" s="9">
        <f>VLOOKUP(A301,'Лист2'!$A$1:$F$505,4,FALSE)</f>
        <v>20</v>
      </c>
      <c r="G301" s="9">
        <f>VLOOKUP(A301,'Лист2'!$A$1:$F$505,5,FALSE)</f>
        <v>1875</v>
      </c>
      <c r="H301" s="9">
        <f>VLOOKUP(A301,'Лист2'!$A$1:$F$505,6,FALSE)</f>
        <v>1701</v>
      </c>
      <c r="I301" s="10">
        <f t="shared" si="2"/>
        <v>127960.575</v>
      </c>
      <c r="J301" s="10">
        <f t="shared" si="3"/>
        <v>22</v>
      </c>
    </row>
    <row r="302" ht="14.25" customHeight="1">
      <c r="A302" s="6" t="str">
        <f t="shared" si="1"/>
        <v>2020-05-16|Москва Запад</v>
      </c>
      <c r="B302" s="7">
        <v>43967.0</v>
      </c>
      <c r="C302" s="8" t="s">
        <v>22</v>
      </c>
      <c r="D302" s="8">
        <v>236551.5</v>
      </c>
      <c r="E302" s="8">
        <v>2.3689383E7</v>
      </c>
      <c r="F302" s="9">
        <f>VLOOKUP(A302,'Лист2'!$A$1:$F$505,4,FALSE)</f>
        <v>60</v>
      </c>
      <c r="G302" s="9">
        <f>VLOOKUP(A302,'Лист2'!$A$1:$F$505,5,FALSE)</f>
        <v>14049</v>
      </c>
      <c r="H302" s="9">
        <f>VLOOKUP(A302,'Лист2'!$A$1:$F$505,6,FALSE)</f>
        <v>13118</v>
      </c>
      <c r="I302" s="10">
        <f t="shared" si="2"/>
        <v>394823.05</v>
      </c>
      <c r="J302" s="10">
        <f t="shared" si="3"/>
        <v>20</v>
      </c>
    </row>
    <row r="303" ht="14.25" customHeight="1">
      <c r="A303" s="6" t="str">
        <f t="shared" si="1"/>
        <v>2020-05-19|Москва Запад</v>
      </c>
      <c r="B303" s="11">
        <v>43970.0</v>
      </c>
      <c r="C303" s="12" t="s">
        <v>22</v>
      </c>
      <c r="D303" s="12">
        <v>223597.5</v>
      </c>
      <c r="E303" s="12">
        <v>2.1945858E7</v>
      </c>
      <c r="F303" s="9">
        <f>VLOOKUP(A303,'Лист2'!$A$1:$F$505,4,FALSE)</f>
        <v>60</v>
      </c>
      <c r="G303" s="9">
        <f>VLOOKUP(A303,'Лист2'!$A$1:$F$505,5,FALSE)</f>
        <v>13867</v>
      </c>
      <c r="H303" s="9">
        <f>VLOOKUP(A303,'Лист2'!$A$1:$F$505,6,FALSE)</f>
        <v>12987</v>
      </c>
      <c r="I303" s="10">
        <f t="shared" si="2"/>
        <v>365764.3</v>
      </c>
      <c r="J303" s="10">
        <f t="shared" si="3"/>
        <v>21</v>
      </c>
    </row>
    <row r="304" ht="14.25" customHeight="1">
      <c r="A304" s="6" t="str">
        <f t="shared" si="1"/>
        <v>2020-05-17|Москва Запад</v>
      </c>
      <c r="B304" s="7">
        <v>43968.0</v>
      </c>
      <c r="C304" s="8" t="s">
        <v>22</v>
      </c>
      <c r="D304" s="8">
        <v>193363.5</v>
      </c>
      <c r="E304" s="8">
        <v>1.9546386E7</v>
      </c>
      <c r="F304" s="9">
        <f>VLOOKUP(A304,'Лист2'!$A$1:$F$505,4,FALSE)</f>
        <v>60</v>
      </c>
      <c r="G304" s="9">
        <f>VLOOKUP(A304,'Лист2'!$A$1:$F$505,5,FALSE)</f>
        <v>11698</v>
      </c>
      <c r="H304" s="9">
        <f>VLOOKUP(A304,'Лист2'!$A$1:$F$505,6,FALSE)</f>
        <v>10989</v>
      </c>
      <c r="I304" s="10">
        <f t="shared" si="2"/>
        <v>325773.1</v>
      </c>
      <c r="J304" s="10">
        <f t="shared" si="3"/>
        <v>20</v>
      </c>
    </row>
    <row r="305" ht="14.25" customHeight="1">
      <c r="A305" s="6" t="str">
        <f t="shared" si="1"/>
        <v>2020-05-09|Москва Запад</v>
      </c>
      <c r="B305" s="11">
        <v>43960.0</v>
      </c>
      <c r="C305" s="12" t="s">
        <v>22</v>
      </c>
      <c r="D305" s="12">
        <v>188319.0</v>
      </c>
      <c r="E305" s="12">
        <v>1.92186315E7</v>
      </c>
      <c r="F305" s="9">
        <f>VLOOKUP(A305,'Лист2'!$A$1:$F$505,4,FALSE)</f>
        <v>59</v>
      </c>
      <c r="G305" s="9">
        <f>VLOOKUP(A305,'Лист2'!$A$1:$F$505,5,FALSE)</f>
        <v>12016</v>
      </c>
      <c r="H305" s="9">
        <f>VLOOKUP(A305,'Лист2'!$A$1:$F$505,6,FALSE)</f>
        <v>11137</v>
      </c>
      <c r="I305" s="10">
        <f t="shared" si="2"/>
        <v>325739.5169</v>
      </c>
      <c r="J305" s="10">
        <f t="shared" si="3"/>
        <v>19</v>
      </c>
    </row>
    <row r="306" ht="14.25" customHeight="1">
      <c r="A306" s="6" t="str">
        <f t="shared" si="1"/>
        <v>2020-05-04|Москва Запад</v>
      </c>
      <c r="B306" s="7">
        <v>43955.0</v>
      </c>
      <c r="C306" s="8" t="s">
        <v>22</v>
      </c>
      <c r="D306" s="8">
        <v>237544.5</v>
      </c>
      <c r="E306" s="8">
        <v>2.4292218E7</v>
      </c>
      <c r="F306" s="9">
        <f>VLOOKUP(A306,'Лист2'!$A$1:$F$505,4,FALSE)</f>
        <v>59</v>
      </c>
      <c r="G306" s="9">
        <f>VLOOKUP(A306,'Лист2'!$A$1:$F$505,5,FALSE)</f>
        <v>14423</v>
      </c>
      <c r="H306" s="9">
        <f>VLOOKUP(A306,'Лист2'!$A$1:$F$505,6,FALSE)</f>
        <v>13432</v>
      </c>
      <c r="I306" s="10">
        <f t="shared" si="2"/>
        <v>411732.5085</v>
      </c>
      <c r="J306" s="10">
        <f t="shared" si="3"/>
        <v>19</v>
      </c>
    </row>
    <row r="307" ht="14.25" customHeight="1">
      <c r="A307" s="6" t="str">
        <f t="shared" si="1"/>
        <v>2020-04-29|Москва Восток</v>
      </c>
      <c r="B307" s="11">
        <v>43950.0</v>
      </c>
      <c r="C307" s="12" t="s">
        <v>23</v>
      </c>
      <c r="D307" s="12">
        <v>203209.5</v>
      </c>
      <c r="E307" s="12">
        <v>2.08713915E7</v>
      </c>
      <c r="F307" s="9">
        <f>VLOOKUP(A307,'Лист2'!$A$1:$F$505,4,FALSE)</f>
        <v>54</v>
      </c>
      <c r="G307" s="9">
        <f>VLOOKUP(A307,'Лист2'!$A$1:$F$505,5,FALSE)</f>
        <v>12747</v>
      </c>
      <c r="H307" s="9">
        <f>VLOOKUP(A307,'Лист2'!$A$1:$F$505,6,FALSE)</f>
        <v>11884</v>
      </c>
      <c r="I307" s="10">
        <f t="shared" si="2"/>
        <v>386507.25</v>
      </c>
      <c r="J307" s="10">
        <f t="shared" si="3"/>
        <v>18</v>
      </c>
    </row>
    <row r="308" ht="14.25" customHeight="1">
      <c r="A308" s="6" t="str">
        <f t="shared" si="1"/>
        <v>2020-05-02|Москва Запад</v>
      </c>
      <c r="B308" s="7">
        <v>43953.0</v>
      </c>
      <c r="C308" s="8" t="s">
        <v>22</v>
      </c>
      <c r="D308" s="8">
        <v>185979.0</v>
      </c>
      <c r="E308" s="8">
        <v>1.9625364E7</v>
      </c>
      <c r="F308" s="9">
        <f>VLOOKUP(A308,'Лист2'!$A$1:$F$505,4,FALSE)</f>
        <v>59</v>
      </c>
      <c r="G308" s="9">
        <f>VLOOKUP(A308,'Лист2'!$A$1:$F$505,5,FALSE)</f>
        <v>12429</v>
      </c>
      <c r="H308" s="9">
        <f>VLOOKUP(A308,'Лист2'!$A$1:$F$505,6,FALSE)</f>
        <v>11477</v>
      </c>
      <c r="I308" s="10">
        <f t="shared" si="2"/>
        <v>332633.2881</v>
      </c>
      <c r="J308" s="10">
        <f t="shared" si="3"/>
        <v>18</v>
      </c>
    </row>
    <row r="309" ht="14.25" customHeight="1">
      <c r="A309" s="6" t="str">
        <f t="shared" si="1"/>
        <v>2020-05-26|Москва Запад</v>
      </c>
      <c r="B309" s="11">
        <v>43977.0</v>
      </c>
      <c r="C309" s="12" t="s">
        <v>22</v>
      </c>
      <c r="D309" s="12">
        <v>244905.0</v>
      </c>
      <c r="E309" s="12">
        <v>2.51634315E7</v>
      </c>
      <c r="F309" s="9">
        <f>VLOOKUP(A309,'Лист2'!$A$1:$F$505,4,FALSE)</f>
        <v>59</v>
      </c>
      <c r="G309" s="9">
        <f>VLOOKUP(A309,'Лист2'!$A$1:$F$505,5,FALSE)</f>
        <v>15369</v>
      </c>
      <c r="H309" s="9">
        <f>VLOOKUP(A309,'Лист2'!$A$1:$F$505,6,FALSE)</f>
        <v>14299</v>
      </c>
      <c r="I309" s="10">
        <f t="shared" si="2"/>
        <v>426498.839</v>
      </c>
      <c r="J309" s="10">
        <f t="shared" si="3"/>
        <v>22</v>
      </c>
    </row>
    <row r="310" ht="14.25" customHeight="1">
      <c r="A310" s="6" t="str">
        <f t="shared" si="1"/>
        <v>2020-05-01|Москва Запад</v>
      </c>
      <c r="B310" s="7">
        <v>43952.0</v>
      </c>
      <c r="C310" s="8" t="s">
        <v>22</v>
      </c>
      <c r="D310" s="8">
        <v>239409.0</v>
      </c>
      <c r="E310" s="8">
        <v>2.5413351E7</v>
      </c>
      <c r="F310" s="9">
        <f>VLOOKUP(A310,'Лист2'!$A$1:$F$505,4,FALSE)</f>
        <v>59</v>
      </c>
      <c r="G310" s="9">
        <f>VLOOKUP(A310,'Лист2'!$A$1:$F$505,5,FALSE)</f>
        <v>15222</v>
      </c>
      <c r="H310" s="9">
        <f>VLOOKUP(A310,'Лист2'!$A$1:$F$505,6,FALSE)</f>
        <v>13873</v>
      </c>
      <c r="I310" s="10">
        <f t="shared" si="2"/>
        <v>430734.7627</v>
      </c>
      <c r="J310" s="10">
        <f t="shared" si="3"/>
        <v>18</v>
      </c>
    </row>
    <row r="311" ht="14.25" customHeight="1">
      <c r="A311" s="6" t="str">
        <f t="shared" si="1"/>
        <v>2020-05-12|Москва Запад</v>
      </c>
      <c r="B311" s="11">
        <v>43963.0</v>
      </c>
      <c r="C311" s="12" t="s">
        <v>22</v>
      </c>
      <c r="D311" s="12">
        <v>192886.5</v>
      </c>
      <c r="E311" s="12">
        <v>1.92051795E7</v>
      </c>
      <c r="F311" s="9">
        <f>VLOOKUP(A311,'Лист2'!$A$1:$F$505,4,FALSE)</f>
        <v>60</v>
      </c>
      <c r="G311" s="9">
        <f>VLOOKUP(A311,'Лист2'!$A$1:$F$505,5,FALSE)</f>
        <v>12000</v>
      </c>
      <c r="H311" s="9">
        <f>VLOOKUP(A311,'Лист2'!$A$1:$F$505,6,FALSE)</f>
        <v>11194</v>
      </c>
      <c r="I311" s="10">
        <f t="shared" si="2"/>
        <v>320086.325</v>
      </c>
      <c r="J311" s="10">
        <f t="shared" si="3"/>
        <v>20</v>
      </c>
    </row>
    <row r="312" ht="14.25" customHeight="1">
      <c r="A312" s="6" t="str">
        <f t="shared" si="1"/>
        <v>2020-05-21|Москва Запад</v>
      </c>
      <c r="B312" s="7">
        <v>43972.0</v>
      </c>
      <c r="C312" s="8" t="s">
        <v>22</v>
      </c>
      <c r="D312" s="8">
        <v>224233.5</v>
      </c>
      <c r="E312" s="8">
        <v>2.2253295E7</v>
      </c>
      <c r="F312" s="9">
        <f>VLOOKUP(A312,'Лист2'!$A$1:$F$505,4,FALSE)</f>
        <v>60</v>
      </c>
      <c r="G312" s="9">
        <f>VLOOKUP(A312,'Лист2'!$A$1:$F$505,5,FALSE)</f>
        <v>14005</v>
      </c>
      <c r="H312" s="9">
        <f>VLOOKUP(A312,'Лист2'!$A$1:$F$505,6,FALSE)</f>
        <v>13002</v>
      </c>
      <c r="I312" s="10">
        <f t="shared" si="2"/>
        <v>370888.25</v>
      </c>
      <c r="J312" s="10">
        <f t="shared" si="3"/>
        <v>21</v>
      </c>
    </row>
    <row r="313" ht="14.25" customHeight="1">
      <c r="A313" s="6" t="str">
        <f t="shared" si="1"/>
        <v>2020-05-20|Москва Запад</v>
      </c>
      <c r="B313" s="11">
        <v>43971.0</v>
      </c>
      <c r="C313" s="12" t="s">
        <v>22</v>
      </c>
      <c r="D313" s="12">
        <v>219622.5</v>
      </c>
      <c r="E313" s="12">
        <v>2.1959286E7</v>
      </c>
      <c r="F313" s="9">
        <f>VLOOKUP(A313,'Лист2'!$A$1:$F$505,4,FALSE)</f>
        <v>60</v>
      </c>
      <c r="G313" s="9">
        <f>VLOOKUP(A313,'Лист2'!$A$1:$F$505,5,FALSE)</f>
        <v>13792</v>
      </c>
      <c r="H313" s="9">
        <f>VLOOKUP(A313,'Лист2'!$A$1:$F$505,6,FALSE)</f>
        <v>12834</v>
      </c>
      <c r="I313" s="10">
        <f t="shared" si="2"/>
        <v>365988.1</v>
      </c>
      <c r="J313" s="10">
        <f t="shared" si="3"/>
        <v>21</v>
      </c>
    </row>
    <row r="314" ht="14.25" customHeight="1">
      <c r="A314" s="6" t="str">
        <f t="shared" si="1"/>
        <v>2020-05-05|Москва Запад</v>
      </c>
      <c r="B314" s="7">
        <v>43956.0</v>
      </c>
      <c r="C314" s="8" t="s">
        <v>22</v>
      </c>
      <c r="D314" s="8">
        <v>213582.0</v>
      </c>
      <c r="E314" s="8">
        <v>2.19194355E7</v>
      </c>
      <c r="F314" s="9">
        <f>VLOOKUP(A314,'Лист2'!$A$1:$F$505,4,FALSE)</f>
        <v>59</v>
      </c>
      <c r="G314" s="9">
        <f>VLOOKUP(A314,'Лист2'!$A$1:$F$505,5,FALSE)</f>
        <v>13469</v>
      </c>
      <c r="H314" s="9">
        <f>VLOOKUP(A314,'Лист2'!$A$1:$F$505,6,FALSE)</f>
        <v>12486</v>
      </c>
      <c r="I314" s="10">
        <f t="shared" si="2"/>
        <v>371515.8559</v>
      </c>
      <c r="J314" s="10">
        <f t="shared" si="3"/>
        <v>19</v>
      </c>
    </row>
    <row r="315" ht="14.25" customHeight="1">
      <c r="A315" s="6" t="str">
        <f t="shared" si="1"/>
        <v>2020-04-28|Москва Восток</v>
      </c>
      <c r="B315" s="11">
        <v>43949.0</v>
      </c>
      <c r="C315" s="12" t="s">
        <v>23</v>
      </c>
      <c r="D315" s="12">
        <v>195705.0</v>
      </c>
      <c r="E315" s="12">
        <v>2.00032635E7</v>
      </c>
      <c r="F315" s="9">
        <f>VLOOKUP(A315,'Лист2'!$A$1:$F$505,4,FALSE)</f>
        <v>54</v>
      </c>
      <c r="G315" s="9">
        <f>VLOOKUP(A315,'Лист2'!$A$1:$F$505,5,FALSE)</f>
        <v>12306</v>
      </c>
      <c r="H315" s="9">
        <f>VLOOKUP(A315,'Лист2'!$A$1:$F$505,6,FALSE)</f>
        <v>11532</v>
      </c>
      <c r="I315" s="10">
        <f t="shared" si="2"/>
        <v>370430.8056</v>
      </c>
      <c r="J315" s="10">
        <f t="shared" si="3"/>
        <v>18</v>
      </c>
    </row>
    <row r="316" ht="14.25" customHeight="1">
      <c r="A316" s="6" t="str">
        <f t="shared" si="1"/>
        <v>2020-05-13|Москва Запад</v>
      </c>
      <c r="B316" s="7">
        <v>43964.0</v>
      </c>
      <c r="C316" s="8" t="s">
        <v>22</v>
      </c>
      <c r="D316" s="8">
        <v>193722.0</v>
      </c>
      <c r="E316" s="8">
        <v>1.9437273E7</v>
      </c>
      <c r="F316" s="9">
        <f>VLOOKUP(A316,'Лист2'!$A$1:$F$505,4,FALSE)</f>
        <v>60</v>
      </c>
      <c r="G316" s="9">
        <f>VLOOKUP(A316,'Лист2'!$A$1:$F$505,5,FALSE)</f>
        <v>12007</v>
      </c>
      <c r="H316" s="9">
        <f>VLOOKUP(A316,'Лист2'!$A$1:$F$505,6,FALSE)</f>
        <v>11245</v>
      </c>
      <c r="I316" s="10">
        <f t="shared" si="2"/>
        <v>323954.55</v>
      </c>
      <c r="J316" s="10">
        <f t="shared" si="3"/>
        <v>20</v>
      </c>
    </row>
    <row r="317" ht="14.25" customHeight="1">
      <c r="A317" s="6" t="str">
        <f t="shared" si="1"/>
        <v>2020-05-03|Москва Запад</v>
      </c>
      <c r="B317" s="11">
        <v>43954.0</v>
      </c>
      <c r="C317" s="12" t="s">
        <v>22</v>
      </c>
      <c r="D317" s="12">
        <v>257215.5</v>
      </c>
      <c r="E317" s="12">
        <v>2.64922785E7</v>
      </c>
      <c r="F317" s="9">
        <f>VLOOKUP(A317,'Лист2'!$A$1:$F$505,4,FALSE)</f>
        <v>59</v>
      </c>
      <c r="G317" s="9">
        <f>VLOOKUP(A317,'Лист2'!$A$1:$F$505,5,FALSE)</f>
        <v>15277</v>
      </c>
      <c r="H317" s="9">
        <f>VLOOKUP(A317,'Лист2'!$A$1:$F$505,6,FALSE)</f>
        <v>14163</v>
      </c>
      <c r="I317" s="10">
        <f t="shared" si="2"/>
        <v>449021.6695</v>
      </c>
      <c r="J317" s="10">
        <f t="shared" si="3"/>
        <v>18</v>
      </c>
    </row>
    <row r="318" ht="14.25" customHeight="1">
      <c r="A318" s="6" t="str">
        <f t="shared" si="1"/>
        <v>2020-05-06|Москва Запад</v>
      </c>
      <c r="B318" s="7">
        <v>43957.0</v>
      </c>
      <c r="C318" s="8" t="s">
        <v>22</v>
      </c>
      <c r="D318" s="8">
        <v>224779.5</v>
      </c>
      <c r="E318" s="8">
        <v>2.3032992E7</v>
      </c>
      <c r="F318" s="9">
        <f>VLOOKUP(A318,'Лист2'!$A$1:$F$505,4,FALSE)</f>
        <v>59</v>
      </c>
      <c r="G318" s="9">
        <f>VLOOKUP(A318,'Лист2'!$A$1:$F$505,5,FALSE)</f>
        <v>14103</v>
      </c>
      <c r="H318" s="9">
        <f>VLOOKUP(A318,'Лист2'!$A$1:$F$505,6,FALSE)</f>
        <v>13118</v>
      </c>
      <c r="I318" s="10">
        <f t="shared" si="2"/>
        <v>390389.6949</v>
      </c>
      <c r="J318" s="10">
        <f t="shared" si="3"/>
        <v>19</v>
      </c>
    </row>
    <row r="319" ht="14.25" customHeight="1">
      <c r="A319" s="6" t="str">
        <f t="shared" si="1"/>
        <v>2020-05-23|Москва Запад</v>
      </c>
      <c r="B319" s="11">
        <v>43974.0</v>
      </c>
      <c r="C319" s="12" t="s">
        <v>22</v>
      </c>
      <c r="D319" s="12">
        <v>292018.5</v>
      </c>
      <c r="E319" s="12">
        <v>2.85909105E7</v>
      </c>
      <c r="F319" s="9">
        <f>VLOOKUP(A319,'Лист2'!$A$1:$F$505,4,FALSE)</f>
        <v>60</v>
      </c>
      <c r="G319" s="9">
        <f>VLOOKUP(A319,'Лист2'!$A$1:$F$505,5,FALSE)</f>
        <v>17295</v>
      </c>
      <c r="H319" s="9">
        <f>VLOOKUP(A319,'Лист2'!$A$1:$F$505,6,FALSE)</f>
        <v>16010</v>
      </c>
      <c r="I319" s="10">
        <f t="shared" si="2"/>
        <v>476515.175</v>
      </c>
      <c r="J319" s="10">
        <f t="shared" si="3"/>
        <v>21</v>
      </c>
    </row>
    <row r="320" ht="14.25" customHeight="1">
      <c r="A320" s="6" t="str">
        <f t="shared" si="1"/>
        <v>2020-05-25|Москва Запад</v>
      </c>
      <c r="B320" s="7">
        <v>43976.0</v>
      </c>
      <c r="C320" s="8" t="s">
        <v>22</v>
      </c>
      <c r="D320" s="8">
        <v>198751.5</v>
      </c>
      <c r="E320" s="8">
        <v>2.05827435E7</v>
      </c>
      <c r="F320" s="9">
        <f>VLOOKUP(A320,'Лист2'!$A$1:$F$505,4,FALSE)</f>
        <v>59</v>
      </c>
      <c r="G320" s="9">
        <f>VLOOKUP(A320,'Лист2'!$A$1:$F$505,5,FALSE)</f>
        <v>12983</v>
      </c>
      <c r="H320" s="9">
        <f>VLOOKUP(A320,'Лист2'!$A$1:$F$505,6,FALSE)</f>
        <v>12056</v>
      </c>
      <c r="I320" s="10">
        <f t="shared" si="2"/>
        <v>348860.0593</v>
      </c>
      <c r="J320" s="10">
        <f t="shared" si="3"/>
        <v>22</v>
      </c>
    </row>
    <row r="321" ht="14.25" customHeight="1">
      <c r="A321" s="6" t="str">
        <f t="shared" si="1"/>
        <v>2020-04-30|Москва Запад</v>
      </c>
      <c r="B321" s="11">
        <v>43951.0</v>
      </c>
      <c r="C321" s="12" t="s">
        <v>22</v>
      </c>
      <c r="D321" s="12">
        <v>214386.0</v>
      </c>
      <c r="E321" s="12">
        <v>2.253E7</v>
      </c>
      <c r="F321" s="9">
        <f>VLOOKUP(A321,'Лист2'!$A$1:$F$505,4,FALSE)</f>
        <v>59</v>
      </c>
      <c r="G321" s="9">
        <f>VLOOKUP(A321,'Лист2'!$A$1:$F$505,5,FALSE)</f>
        <v>13251</v>
      </c>
      <c r="H321" s="9">
        <f>VLOOKUP(A321,'Лист2'!$A$1:$F$505,6,FALSE)</f>
        <v>12255</v>
      </c>
      <c r="I321" s="10">
        <f t="shared" si="2"/>
        <v>381864.4068</v>
      </c>
      <c r="J321" s="10">
        <f t="shared" si="3"/>
        <v>18</v>
      </c>
    </row>
    <row r="322" ht="14.25" customHeight="1">
      <c r="A322" s="6" t="str">
        <f t="shared" si="1"/>
        <v>2020-05-10|Москва Запад</v>
      </c>
      <c r="B322" s="7">
        <v>43961.0</v>
      </c>
      <c r="C322" s="8" t="s">
        <v>22</v>
      </c>
      <c r="D322" s="8">
        <v>243825.0</v>
      </c>
      <c r="E322" s="8">
        <v>2.48904045E7</v>
      </c>
      <c r="F322" s="9">
        <f>VLOOKUP(A322,'Лист2'!$A$1:$F$505,4,FALSE)</f>
        <v>59</v>
      </c>
      <c r="G322" s="9">
        <f>VLOOKUP(A322,'Лист2'!$A$1:$F$505,5,FALSE)</f>
        <v>14569</v>
      </c>
      <c r="H322" s="9">
        <f>VLOOKUP(A322,'Лист2'!$A$1:$F$505,6,FALSE)</f>
        <v>13566</v>
      </c>
      <c r="I322" s="10">
        <f t="shared" si="2"/>
        <v>421871.2627</v>
      </c>
      <c r="J322" s="10">
        <f t="shared" si="3"/>
        <v>19</v>
      </c>
    </row>
    <row r="323" ht="14.25" customHeight="1">
      <c r="A323" s="6" t="str">
        <f t="shared" si="1"/>
        <v>2020-05-08|Москва Запад</v>
      </c>
      <c r="B323" s="11">
        <v>43959.0</v>
      </c>
      <c r="C323" s="12" t="s">
        <v>22</v>
      </c>
      <c r="D323" s="12">
        <v>232701.0</v>
      </c>
      <c r="E323" s="12">
        <v>2.38819485E7</v>
      </c>
      <c r="F323" s="9">
        <f>VLOOKUP(A323,'Лист2'!$A$1:$F$505,4,FALSE)</f>
        <v>59</v>
      </c>
      <c r="G323" s="9">
        <f>VLOOKUP(A323,'Лист2'!$A$1:$F$505,5,FALSE)</f>
        <v>14098</v>
      </c>
      <c r="H323" s="9">
        <f>VLOOKUP(A323,'Лист2'!$A$1:$F$505,6,FALSE)</f>
        <v>13106</v>
      </c>
      <c r="I323" s="10">
        <f t="shared" si="2"/>
        <v>404778.7881</v>
      </c>
      <c r="J323" s="10">
        <f t="shared" si="3"/>
        <v>19</v>
      </c>
    </row>
    <row r="324" ht="14.25" customHeight="1">
      <c r="A324" s="6" t="str">
        <f t="shared" si="1"/>
        <v>2020-05-07|Москва Запад</v>
      </c>
      <c r="B324" s="7">
        <v>43958.0</v>
      </c>
      <c r="C324" s="8" t="s">
        <v>22</v>
      </c>
      <c r="D324" s="8">
        <v>219411.0</v>
      </c>
      <c r="E324" s="8">
        <v>2.246013E7</v>
      </c>
      <c r="F324" s="9">
        <f>VLOOKUP(A324,'Лист2'!$A$1:$F$505,4,FALSE)</f>
        <v>59</v>
      </c>
      <c r="G324" s="9">
        <f>VLOOKUP(A324,'Лист2'!$A$1:$F$505,5,FALSE)</f>
        <v>13495</v>
      </c>
      <c r="H324" s="9">
        <f>VLOOKUP(A324,'Лист2'!$A$1:$F$505,6,FALSE)</f>
        <v>12517</v>
      </c>
      <c r="I324" s="10">
        <f t="shared" si="2"/>
        <v>380680.1695</v>
      </c>
      <c r="J324" s="10">
        <f t="shared" si="3"/>
        <v>19</v>
      </c>
    </row>
    <row r="325" ht="14.25" customHeight="1">
      <c r="A325" s="6" t="str">
        <f t="shared" si="1"/>
        <v>2020-05-24|Москва Запад</v>
      </c>
      <c r="B325" s="11">
        <v>43975.0</v>
      </c>
      <c r="C325" s="12" t="s">
        <v>22</v>
      </c>
      <c r="D325" s="12">
        <v>200029.5</v>
      </c>
      <c r="E325" s="12">
        <v>1.9959801E7</v>
      </c>
      <c r="F325" s="9">
        <f>VLOOKUP(A325,'Лист2'!$A$1:$F$505,4,FALSE)</f>
        <v>60</v>
      </c>
      <c r="G325" s="9">
        <f>VLOOKUP(A325,'Лист2'!$A$1:$F$505,5,FALSE)</f>
        <v>12822</v>
      </c>
      <c r="H325" s="9">
        <f>VLOOKUP(A325,'Лист2'!$A$1:$F$505,6,FALSE)</f>
        <v>11916</v>
      </c>
      <c r="I325" s="10">
        <f t="shared" si="2"/>
        <v>332663.35</v>
      </c>
      <c r="J325" s="10">
        <f t="shared" si="3"/>
        <v>21</v>
      </c>
    </row>
    <row r="326" ht="14.25" customHeight="1">
      <c r="A326" s="6" t="str">
        <f t="shared" si="1"/>
        <v>2020-05-16|Москва Восток</v>
      </c>
      <c r="B326" s="7">
        <v>43967.0</v>
      </c>
      <c r="C326" s="8" t="s">
        <v>23</v>
      </c>
      <c r="D326" s="8">
        <v>225480.0</v>
      </c>
      <c r="E326" s="8">
        <v>2.23553385E7</v>
      </c>
      <c r="F326" s="9">
        <f>VLOOKUP(A326,'Лист2'!$A$1:$F$505,4,FALSE)</f>
        <v>54</v>
      </c>
      <c r="G326" s="9">
        <f>VLOOKUP(A326,'Лист2'!$A$1:$F$505,5,FALSE)</f>
        <v>13170</v>
      </c>
      <c r="H326" s="9">
        <f>VLOOKUP(A326,'Лист2'!$A$1:$F$505,6,FALSE)</f>
        <v>12299</v>
      </c>
      <c r="I326" s="10">
        <f t="shared" si="2"/>
        <v>413987.75</v>
      </c>
      <c r="J326" s="10">
        <f t="shared" si="3"/>
        <v>20</v>
      </c>
    </row>
    <row r="327" ht="14.25" customHeight="1">
      <c r="A327" s="6" t="str">
        <f t="shared" si="1"/>
        <v>2020-05-19|Москва Восток</v>
      </c>
      <c r="B327" s="11">
        <v>43970.0</v>
      </c>
      <c r="C327" s="12" t="s">
        <v>23</v>
      </c>
      <c r="D327" s="12">
        <v>211453.5</v>
      </c>
      <c r="E327" s="12">
        <v>2.05900725E7</v>
      </c>
      <c r="F327" s="9">
        <f>VLOOKUP(A327,'Лист2'!$A$1:$F$505,4,FALSE)</f>
        <v>54</v>
      </c>
      <c r="G327" s="9">
        <f>VLOOKUP(A327,'Лист2'!$A$1:$F$505,5,FALSE)</f>
        <v>13070</v>
      </c>
      <c r="H327" s="9">
        <f>VLOOKUP(A327,'Лист2'!$A$1:$F$505,6,FALSE)</f>
        <v>12244</v>
      </c>
      <c r="I327" s="10">
        <f t="shared" si="2"/>
        <v>381297.6389</v>
      </c>
      <c r="J327" s="10">
        <f t="shared" si="3"/>
        <v>21</v>
      </c>
    </row>
    <row r="328" ht="14.25" customHeight="1">
      <c r="A328" s="6" t="str">
        <f t="shared" si="1"/>
        <v>2020-05-17|Москва Восток</v>
      </c>
      <c r="B328" s="7">
        <v>43968.0</v>
      </c>
      <c r="C328" s="8" t="s">
        <v>23</v>
      </c>
      <c r="D328" s="8">
        <v>184801.5</v>
      </c>
      <c r="E328" s="8">
        <v>1.8449091E7</v>
      </c>
      <c r="F328" s="9">
        <f>VLOOKUP(A328,'Лист2'!$A$1:$F$505,4,FALSE)</f>
        <v>54</v>
      </c>
      <c r="G328" s="9">
        <f>VLOOKUP(A328,'Лист2'!$A$1:$F$505,5,FALSE)</f>
        <v>11128</v>
      </c>
      <c r="H328" s="9">
        <f>VLOOKUP(A328,'Лист2'!$A$1:$F$505,6,FALSE)</f>
        <v>10467</v>
      </c>
      <c r="I328" s="10">
        <f t="shared" si="2"/>
        <v>341649.8333</v>
      </c>
      <c r="J328" s="10">
        <f t="shared" si="3"/>
        <v>20</v>
      </c>
    </row>
    <row r="329" ht="14.25" customHeight="1">
      <c r="A329" s="6" t="str">
        <f t="shared" si="1"/>
        <v>2020-05-09|Москва Восток</v>
      </c>
      <c r="B329" s="11">
        <v>43960.0</v>
      </c>
      <c r="C329" s="12" t="s">
        <v>23</v>
      </c>
      <c r="D329" s="12">
        <v>177976.5</v>
      </c>
      <c r="E329" s="12">
        <v>1.80857985E7</v>
      </c>
      <c r="F329" s="9">
        <f>VLOOKUP(A329,'Лист2'!$A$1:$F$505,4,FALSE)</f>
        <v>54</v>
      </c>
      <c r="G329" s="9">
        <f>VLOOKUP(A329,'Лист2'!$A$1:$F$505,5,FALSE)</f>
        <v>11288</v>
      </c>
      <c r="H329" s="9">
        <f>VLOOKUP(A329,'Лист2'!$A$1:$F$505,6,FALSE)</f>
        <v>10492</v>
      </c>
      <c r="I329" s="10">
        <f t="shared" si="2"/>
        <v>334922.1944</v>
      </c>
      <c r="J329" s="10">
        <f t="shared" si="3"/>
        <v>19</v>
      </c>
    </row>
    <row r="330" ht="14.25" customHeight="1">
      <c r="A330" s="6" t="str">
        <f t="shared" si="1"/>
        <v>2020-05-04|Москва Восток</v>
      </c>
      <c r="B330" s="7">
        <v>43955.0</v>
      </c>
      <c r="C330" s="8" t="s">
        <v>23</v>
      </c>
      <c r="D330" s="8">
        <v>223617.0</v>
      </c>
      <c r="E330" s="8">
        <v>2.27968275E7</v>
      </c>
      <c r="F330" s="9">
        <f>VLOOKUP(A330,'Лист2'!$A$1:$F$505,4,FALSE)</f>
        <v>54</v>
      </c>
      <c r="G330" s="9">
        <f>VLOOKUP(A330,'Лист2'!$A$1:$F$505,5,FALSE)</f>
        <v>13606</v>
      </c>
      <c r="H330" s="9">
        <f>VLOOKUP(A330,'Лист2'!$A$1:$F$505,6,FALSE)</f>
        <v>12697</v>
      </c>
      <c r="I330" s="10">
        <f t="shared" si="2"/>
        <v>422163.4722</v>
      </c>
      <c r="J330" s="10">
        <f t="shared" si="3"/>
        <v>19</v>
      </c>
    </row>
    <row r="331" ht="14.25" customHeight="1">
      <c r="A331" s="6" t="str">
        <f t="shared" si="1"/>
        <v>2020-05-02|Москва Восток</v>
      </c>
      <c r="B331" s="11">
        <v>43953.0</v>
      </c>
      <c r="C331" s="12" t="s">
        <v>23</v>
      </c>
      <c r="D331" s="12">
        <v>176397.0</v>
      </c>
      <c r="E331" s="12">
        <v>1.86259215E7</v>
      </c>
      <c r="F331" s="9">
        <f>VLOOKUP(A331,'Лист2'!$A$1:$F$505,4,FALSE)</f>
        <v>54</v>
      </c>
      <c r="G331" s="9">
        <f>VLOOKUP(A331,'Лист2'!$A$1:$F$505,5,FALSE)</f>
        <v>11622</v>
      </c>
      <c r="H331" s="9">
        <f>VLOOKUP(A331,'Лист2'!$A$1:$F$505,6,FALSE)</f>
        <v>10754</v>
      </c>
      <c r="I331" s="10">
        <f t="shared" si="2"/>
        <v>344924.4722</v>
      </c>
      <c r="J331" s="10">
        <f t="shared" si="3"/>
        <v>18</v>
      </c>
    </row>
    <row r="332" ht="14.25" customHeight="1">
      <c r="A332" s="6" t="str">
        <f t="shared" si="1"/>
        <v>2020-05-26|Москва Восток</v>
      </c>
      <c r="B332" s="7">
        <v>43977.0</v>
      </c>
      <c r="C332" s="8" t="s">
        <v>23</v>
      </c>
      <c r="D332" s="8">
        <v>232369.5</v>
      </c>
      <c r="E332" s="8">
        <v>2.3856345E7</v>
      </c>
      <c r="F332" s="9">
        <f>VLOOKUP(A332,'Лист2'!$A$1:$F$505,4,FALSE)</f>
        <v>54</v>
      </c>
      <c r="G332" s="9">
        <f>VLOOKUP(A332,'Лист2'!$A$1:$F$505,5,FALSE)</f>
        <v>14482</v>
      </c>
      <c r="H332" s="9">
        <f>VLOOKUP(A332,'Лист2'!$A$1:$F$505,6,FALSE)</f>
        <v>13510</v>
      </c>
      <c r="I332" s="10">
        <f t="shared" si="2"/>
        <v>441784.1667</v>
      </c>
      <c r="J332" s="10">
        <f t="shared" si="3"/>
        <v>22</v>
      </c>
    </row>
    <row r="333" ht="14.25" customHeight="1">
      <c r="A333" s="6" t="str">
        <f t="shared" si="1"/>
        <v>2020-05-01|Москва Восток</v>
      </c>
      <c r="B333" s="11">
        <v>43952.0</v>
      </c>
      <c r="C333" s="12" t="s">
        <v>23</v>
      </c>
      <c r="D333" s="12">
        <v>226540.5</v>
      </c>
      <c r="E333" s="12">
        <v>2.3953536E7</v>
      </c>
      <c r="F333" s="9">
        <f>VLOOKUP(A333,'Лист2'!$A$1:$F$505,4,FALSE)</f>
        <v>54</v>
      </c>
      <c r="G333" s="9">
        <f>VLOOKUP(A333,'Лист2'!$A$1:$F$505,5,FALSE)</f>
        <v>14205</v>
      </c>
      <c r="H333" s="9">
        <f>VLOOKUP(A333,'Лист2'!$A$1:$F$505,6,FALSE)</f>
        <v>13026</v>
      </c>
      <c r="I333" s="10">
        <f t="shared" si="2"/>
        <v>443584</v>
      </c>
      <c r="J333" s="10">
        <f t="shared" si="3"/>
        <v>18</v>
      </c>
    </row>
    <row r="334" ht="14.25" customHeight="1">
      <c r="A334" s="6" t="str">
        <f t="shared" si="1"/>
        <v>2020-05-12|Москва Восток</v>
      </c>
      <c r="B334" s="7">
        <v>43963.0</v>
      </c>
      <c r="C334" s="8" t="s">
        <v>23</v>
      </c>
      <c r="D334" s="8">
        <v>189679.5</v>
      </c>
      <c r="E334" s="8">
        <v>1.87180365E7</v>
      </c>
      <c r="F334" s="9">
        <f>VLOOKUP(A334,'Лист2'!$A$1:$F$505,4,FALSE)</f>
        <v>54</v>
      </c>
      <c r="G334" s="9">
        <f>VLOOKUP(A334,'Лист2'!$A$1:$F$505,5,FALSE)</f>
        <v>11614</v>
      </c>
      <c r="H334" s="9">
        <f>VLOOKUP(A334,'Лист2'!$A$1:$F$505,6,FALSE)</f>
        <v>10862</v>
      </c>
      <c r="I334" s="10">
        <f t="shared" si="2"/>
        <v>346630.3056</v>
      </c>
      <c r="J334" s="10">
        <f t="shared" si="3"/>
        <v>20</v>
      </c>
    </row>
    <row r="335" ht="14.25" customHeight="1">
      <c r="A335" s="6" t="str">
        <f t="shared" si="1"/>
        <v>2020-05-21|Москва Восток</v>
      </c>
      <c r="B335" s="11">
        <v>43972.0</v>
      </c>
      <c r="C335" s="12" t="s">
        <v>23</v>
      </c>
      <c r="D335" s="12">
        <v>213640.5</v>
      </c>
      <c r="E335" s="12">
        <v>2.10426735E7</v>
      </c>
      <c r="F335" s="9">
        <f>VLOOKUP(A335,'Лист2'!$A$1:$F$505,4,FALSE)</f>
        <v>54</v>
      </c>
      <c r="G335" s="9">
        <f>VLOOKUP(A335,'Лист2'!$A$1:$F$505,5,FALSE)</f>
        <v>13240</v>
      </c>
      <c r="H335" s="9">
        <f>VLOOKUP(A335,'Лист2'!$A$1:$F$505,6,FALSE)</f>
        <v>12360</v>
      </c>
      <c r="I335" s="10">
        <f t="shared" si="2"/>
        <v>389679.1389</v>
      </c>
      <c r="J335" s="10">
        <f t="shared" si="3"/>
        <v>21</v>
      </c>
    </row>
    <row r="336" ht="14.25" customHeight="1">
      <c r="A336" s="6" t="str">
        <f t="shared" si="1"/>
        <v>2020-05-20|Москва Восток</v>
      </c>
      <c r="B336" s="7">
        <v>43971.0</v>
      </c>
      <c r="C336" s="8" t="s">
        <v>23</v>
      </c>
      <c r="D336" s="8">
        <v>214885.5</v>
      </c>
      <c r="E336" s="8">
        <v>2.14113495E7</v>
      </c>
      <c r="F336" s="9">
        <f>VLOOKUP(A336,'Лист2'!$A$1:$F$505,4,FALSE)</f>
        <v>54</v>
      </c>
      <c r="G336" s="9">
        <f>VLOOKUP(A336,'Лист2'!$A$1:$F$505,5,FALSE)</f>
        <v>13298</v>
      </c>
      <c r="H336" s="9">
        <f>VLOOKUP(A336,'Лист2'!$A$1:$F$505,6,FALSE)</f>
        <v>12428</v>
      </c>
      <c r="I336" s="10">
        <f t="shared" si="2"/>
        <v>396506.4722</v>
      </c>
      <c r="J336" s="10">
        <f t="shared" si="3"/>
        <v>21</v>
      </c>
    </row>
    <row r="337" ht="14.25" customHeight="1">
      <c r="A337" s="6" t="str">
        <f t="shared" si="1"/>
        <v>2020-05-05|Москва Восток</v>
      </c>
      <c r="B337" s="11">
        <v>43956.0</v>
      </c>
      <c r="C337" s="12" t="s">
        <v>23</v>
      </c>
      <c r="D337" s="12">
        <v>203832.0</v>
      </c>
      <c r="E337" s="12">
        <v>2.08801425E7</v>
      </c>
      <c r="F337" s="9">
        <f>VLOOKUP(A337,'Лист2'!$A$1:$F$505,4,FALSE)</f>
        <v>54</v>
      </c>
      <c r="G337" s="9">
        <f>VLOOKUP(A337,'Лист2'!$A$1:$F$505,5,FALSE)</f>
        <v>12775</v>
      </c>
      <c r="H337" s="9">
        <f>VLOOKUP(A337,'Лист2'!$A$1:$F$505,6,FALSE)</f>
        <v>11887</v>
      </c>
      <c r="I337" s="10">
        <f t="shared" si="2"/>
        <v>386669.3056</v>
      </c>
      <c r="J337" s="10">
        <f t="shared" si="3"/>
        <v>19</v>
      </c>
    </row>
    <row r="338" ht="14.25" customHeight="1">
      <c r="A338" s="6" t="str">
        <f t="shared" si="1"/>
        <v>2020-05-13|Москва Восток</v>
      </c>
      <c r="B338" s="7">
        <v>43964.0</v>
      </c>
      <c r="C338" s="8" t="s">
        <v>23</v>
      </c>
      <c r="D338" s="8">
        <v>188662.5</v>
      </c>
      <c r="E338" s="8">
        <v>1.87840005E7</v>
      </c>
      <c r="F338" s="9">
        <f>VLOOKUP(A338,'Лист2'!$A$1:$F$505,4,FALSE)</f>
        <v>54</v>
      </c>
      <c r="G338" s="9">
        <f>VLOOKUP(A338,'Лист2'!$A$1:$F$505,5,FALSE)</f>
        <v>11522</v>
      </c>
      <c r="H338" s="9">
        <f>VLOOKUP(A338,'Лист2'!$A$1:$F$505,6,FALSE)</f>
        <v>10803</v>
      </c>
      <c r="I338" s="10">
        <f t="shared" si="2"/>
        <v>347851.8611</v>
      </c>
      <c r="J338" s="10">
        <f t="shared" si="3"/>
        <v>20</v>
      </c>
    </row>
    <row r="339" ht="14.25" customHeight="1">
      <c r="A339" s="6" t="str">
        <f t="shared" si="1"/>
        <v>2020-05-31|Москва Запад</v>
      </c>
      <c r="B339" s="11">
        <v>43982.0</v>
      </c>
      <c r="C339" s="12" t="s">
        <v>22</v>
      </c>
      <c r="D339" s="12">
        <v>215277.0</v>
      </c>
      <c r="E339" s="12">
        <v>2.15853165E7</v>
      </c>
      <c r="F339" s="9">
        <f>VLOOKUP(A339,'Лист2'!$A$1:$F$505,4,FALSE)</f>
        <v>59</v>
      </c>
      <c r="G339" s="9">
        <f>VLOOKUP(A339,'Лист2'!$A$1:$F$505,5,FALSE)</f>
        <v>13684</v>
      </c>
      <c r="H339" s="9">
        <f>VLOOKUP(A339,'Лист2'!$A$1:$F$505,6,FALSE)</f>
        <v>12690</v>
      </c>
      <c r="I339" s="10">
        <f t="shared" si="2"/>
        <v>365852.822</v>
      </c>
      <c r="J339" s="10">
        <f t="shared" si="3"/>
        <v>22</v>
      </c>
    </row>
    <row r="340" ht="14.25" customHeight="1">
      <c r="A340" s="6" t="str">
        <f t="shared" si="1"/>
        <v>2020-05-03|Москва Восток</v>
      </c>
      <c r="B340" s="7">
        <v>43954.0</v>
      </c>
      <c r="C340" s="8" t="s">
        <v>23</v>
      </c>
      <c r="D340" s="8">
        <v>248148.0</v>
      </c>
      <c r="E340" s="8">
        <v>2.55190725E7</v>
      </c>
      <c r="F340" s="9">
        <f>VLOOKUP(A340,'Лист2'!$A$1:$F$505,4,FALSE)</f>
        <v>54</v>
      </c>
      <c r="G340" s="9">
        <f>VLOOKUP(A340,'Лист2'!$A$1:$F$505,5,FALSE)</f>
        <v>14823</v>
      </c>
      <c r="H340" s="9">
        <f>VLOOKUP(A340,'Лист2'!$A$1:$F$505,6,FALSE)</f>
        <v>13751</v>
      </c>
      <c r="I340" s="10">
        <f t="shared" si="2"/>
        <v>472575.4167</v>
      </c>
      <c r="J340" s="10">
        <f t="shared" si="3"/>
        <v>18</v>
      </c>
    </row>
    <row r="341" ht="14.25" customHeight="1">
      <c r="A341" s="6" t="str">
        <f t="shared" si="1"/>
        <v>2020-05-30|Москва Запад</v>
      </c>
      <c r="B341" s="11">
        <v>43981.0</v>
      </c>
      <c r="C341" s="12" t="s">
        <v>22</v>
      </c>
      <c r="D341" s="12">
        <v>246414.0</v>
      </c>
      <c r="E341" s="12">
        <v>2.45272455E7</v>
      </c>
      <c r="F341" s="9">
        <f>VLOOKUP(A341,'Лист2'!$A$1:$F$505,4,FALSE)</f>
        <v>59</v>
      </c>
      <c r="G341" s="9">
        <f>VLOOKUP(A341,'Лист2'!$A$1:$F$505,5,FALSE)</f>
        <v>15030</v>
      </c>
      <c r="H341" s="9">
        <f>VLOOKUP(A341,'Лист2'!$A$1:$F$505,6,FALSE)</f>
        <v>13956</v>
      </c>
      <c r="I341" s="10">
        <f t="shared" si="2"/>
        <v>415716.0254</v>
      </c>
      <c r="J341" s="10">
        <f t="shared" si="3"/>
        <v>22</v>
      </c>
    </row>
    <row r="342" ht="14.25" customHeight="1">
      <c r="A342" s="6" t="str">
        <f t="shared" si="1"/>
        <v>2020-05-06|Москва Восток</v>
      </c>
      <c r="B342" s="7">
        <v>43957.0</v>
      </c>
      <c r="C342" s="8" t="s">
        <v>23</v>
      </c>
      <c r="D342" s="8">
        <v>216498.0</v>
      </c>
      <c r="E342" s="8">
        <v>2.21264445E7</v>
      </c>
      <c r="F342" s="9">
        <f>VLOOKUP(A342,'Лист2'!$A$1:$F$505,4,FALSE)</f>
        <v>54</v>
      </c>
      <c r="G342" s="9">
        <f>VLOOKUP(A342,'Лист2'!$A$1:$F$505,5,FALSE)</f>
        <v>13406</v>
      </c>
      <c r="H342" s="9">
        <f>VLOOKUP(A342,'Лист2'!$A$1:$F$505,6,FALSE)</f>
        <v>12518</v>
      </c>
      <c r="I342" s="10">
        <f t="shared" si="2"/>
        <v>409748.9722</v>
      </c>
      <c r="J342" s="10">
        <f t="shared" si="3"/>
        <v>19</v>
      </c>
    </row>
    <row r="343" ht="14.25" customHeight="1">
      <c r="A343" s="6" t="str">
        <f t="shared" si="1"/>
        <v>2020-05-23|Москва Восток</v>
      </c>
      <c r="B343" s="11">
        <v>43974.0</v>
      </c>
      <c r="C343" s="12" t="s">
        <v>23</v>
      </c>
      <c r="D343" s="12">
        <v>275793.0</v>
      </c>
      <c r="E343" s="12">
        <v>2.6806626E7</v>
      </c>
      <c r="F343" s="9">
        <f>VLOOKUP(A343,'Лист2'!$A$1:$F$505,4,FALSE)</f>
        <v>54</v>
      </c>
      <c r="G343" s="9">
        <f>VLOOKUP(A343,'Лист2'!$A$1:$F$505,5,FALSE)</f>
        <v>16221</v>
      </c>
      <c r="H343" s="9">
        <f>VLOOKUP(A343,'Лист2'!$A$1:$F$505,6,FALSE)</f>
        <v>15065</v>
      </c>
      <c r="I343" s="10">
        <f t="shared" si="2"/>
        <v>496419</v>
      </c>
      <c r="J343" s="10">
        <f t="shared" si="3"/>
        <v>21</v>
      </c>
    </row>
    <row r="344" ht="14.25" customHeight="1">
      <c r="A344" s="6" t="str">
        <f t="shared" si="1"/>
        <v>2020-05-28|Москва Запад</v>
      </c>
      <c r="B344" s="7">
        <v>43979.0</v>
      </c>
      <c r="C344" s="8" t="s">
        <v>22</v>
      </c>
      <c r="D344" s="8">
        <v>199753.5</v>
      </c>
      <c r="E344" s="8">
        <v>2.05357335E7</v>
      </c>
      <c r="F344" s="9">
        <f>VLOOKUP(A344,'Лист2'!$A$1:$F$505,4,FALSE)</f>
        <v>60</v>
      </c>
      <c r="G344" s="9">
        <f>VLOOKUP(A344,'Лист2'!$A$1:$F$505,5,FALSE)</f>
        <v>12854</v>
      </c>
      <c r="H344" s="9">
        <f>VLOOKUP(A344,'Лист2'!$A$1:$F$505,6,FALSE)</f>
        <v>11954</v>
      </c>
      <c r="I344" s="10">
        <f t="shared" si="2"/>
        <v>342262.225</v>
      </c>
      <c r="J344" s="10">
        <f t="shared" si="3"/>
        <v>22</v>
      </c>
    </row>
    <row r="345" ht="14.25" customHeight="1">
      <c r="A345" s="6" t="str">
        <f t="shared" si="1"/>
        <v>2020-05-25|Москва Восток</v>
      </c>
      <c r="B345" s="11">
        <v>43976.0</v>
      </c>
      <c r="C345" s="12" t="s">
        <v>23</v>
      </c>
      <c r="D345" s="12">
        <v>192948.0</v>
      </c>
      <c r="E345" s="12">
        <v>1.9806927E7</v>
      </c>
      <c r="F345" s="9">
        <f>VLOOKUP(A345,'Лист2'!$A$1:$F$505,4,FALSE)</f>
        <v>54</v>
      </c>
      <c r="G345" s="9">
        <f>VLOOKUP(A345,'Лист2'!$A$1:$F$505,5,FALSE)</f>
        <v>12336</v>
      </c>
      <c r="H345" s="9">
        <f>VLOOKUP(A345,'Лист2'!$A$1:$F$505,6,FALSE)</f>
        <v>11519</v>
      </c>
      <c r="I345" s="10">
        <f t="shared" si="2"/>
        <v>366794.9444</v>
      </c>
      <c r="J345" s="10">
        <f t="shared" si="3"/>
        <v>22</v>
      </c>
    </row>
    <row r="346" ht="14.25" customHeight="1">
      <c r="A346" s="6" t="str">
        <f t="shared" si="1"/>
        <v>2020-04-30|Москва Восток</v>
      </c>
      <c r="B346" s="7">
        <v>43951.0</v>
      </c>
      <c r="C346" s="8" t="s">
        <v>23</v>
      </c>
      <c r="D346" s="8">
        <v>206038.5</v>
      </c>
      <c r="E346" s="8">
        <v>2.174046E7</v>
      </c>
      <c r="F346" s="9">
        <f>VLOOKUP(A346,'Лист2'!$A$1:$F$505,4,FALSE)</f>
        <v>54</v>
      </c>
      <c r="G346" s="9">
        <f>VLOOKUP(A346,'Лист2'!$A$1:$F$505,5,FALSE)</f>
        <v>12817</v>
      </c>
      <c r="H346" s="9">
        <f>VLOOKUP(A346,'Лист2'!$A$1:$F$505,6,FALSE)</f>
        <v>11865</v>
      </c>
      <c r="I346" s="10">
        <f t="shared" si="2"/>
        <v>402601.1111</v>
      </c>
      <c r="J346" s="10">
        <f t="shared" si="3"/>
        <v>18</v>
      </c>
    </row>
    <row r="347" ht="14.25" customHeight="1">
      <c r="A347" s="6" t="str">
        <f t="shared" si="1"/>
        <v>2020-05-10|Москва Восток</v>
      </c>
      <c r="B347" s="11">
        <v>43961.0</v>
      </c>
      <c r="C347" s="12" t="s">
        <v>23</v>
      </c>
      <c r="D347" s="12">
        <v>231559.5</v>
      </c>
      <c r="E347" s="12">
        <v>2.3443725E7</v>
      </c>
      <c r="F347" s="9">
        <f>VLOOKUP(A347,'Лист2'!$A$1:$F$505,4,FALSE)</f>
        <v>54</v>
      </c>
      <c r="G347" s="9">
        <f>VLOOKUP(A347,'Лист2'!$A$1:$F$505,5,FALSE)</f>
        <v>13832</v>
      </c>
      <c r="H347" s="9">
        <f>VLOOKUP(A347,'Лист2'!$A$1:$F$505,6,FALSE)</f>
        <v>12864</v>
      </c>
      <c r="I347" s="10">
        <f t="shared" si="2"/>
        <v>434143.0556</v>
      </c>
      <c r="J347" s="10">
        <f t="shared" si="3"/>
        <v>19</v>
      </c>
    </row>
    <row r="348" ht="14.25" customHeight="1">
      <c r="A348" s="6" t="str">
        <f t="shared" si="1"/>
        <v>2020-05-08|Москва Восток</v>
      </c>
      <c r="B348" s="7">
        <v>43959.0</v>
      </c>
      <c r="C348" s="8" t="s">
        <v>23</v>
      </c>
      <c r="D348" s="8">
        <v>225076.5</v>
      </c>
      <c r="E348" s="8">
        <v>2.28460785E7</v>
      </c>
      <c r="F348" s="9">
        <f>VLOOKUP(A348,'Лист2'!$A$1:$F$505,4,FALSE)</f>
        <v>54</v>
      </c>
      <c r="G348" s="9">
        <f>VLOOKUP(A348,'Лист2'!$A$1:$F$505,5,FALSE)</f>
        <v>13563</v>
      </c>
      <c r="H348" s="9">
        <f>VLOOKUP(A348,'Лист2'!$A$1:$F$505,6,FALSE)</f>
        <v>12604</v>
      </c>
      <c r="I348" s="10">
        <f t="shared" si="2"/>
        <v>423075.5278</v>
      </c>
      <c r="J348" s="10">
        <f t="shared" si="3"/>
        <v>19</v>
      </c>
    </row>
    <row r="349" ht="14.25" customHeight="1">
      <c r="A349" s="6" t="str">
        <f t="shared" si="1"/>
        <v>2020-05-07|Москва Восток</v>
      </c>
      <c r="B349" s="11">
        <v>43958.0</v>
      </c>
      <c r="C349" s="12" t="s">
        <v>23</v>
      </c>
      <c r="D349" s="12">
        <v>209415.0</v>
      </c>
      <c r="E349" s="12">
        <v>2.1463023E7</v>
      </c>
      <c r="F349" s="9">
        <f>VLOOKUP(A349,'Лист2'!$A$1:$F$505,4,FALSE)</f>
        <v>54</v>
      </c>
      <c r="G349" s="9">
        <f>VLOOKUP(A349,'Лист2'!$A$1:$F$505,5,FALSE)</f>
        <v>12743</v>
      </c>
      <c r="H349" s="9">
        <f>VLOOKUP(A349,'Лист2'!$A$1:$F$505,6,FALSE)</f>
        <v>11858</v>
      </c>
      <c r="I349" s="10">
        <f t="shared" si="2"/>
        <v>397463.3889</v>
      </c>
      <c r="J349" s="10">
        <f t="shared" si="3"/>
        <v>19</v>
      </c>
    </row>
    <row r="350" ht="14.25" customHeight="1">
      <c r="A350" s="6" t="str">
        <f t="shared" si="1"/>
        <v>2020-05-24|Москва Восток</v>
      </c>
      <c r="B350" s="7">
        <v>43975.0</v>
      </c>
      <c r="C350" s="8" t="s">
        <v>23</v>
      </c>
      <c r="D350" s="8">
        <v>193719.0</v>
      </c>
      <c r="E350" s="8">
        <v>1.9071117E7</v>
      </c>
      <c r="F350" s="9">
        <f>VLOOKUP(A350,'Лист2'!$A$1:$F$505,4,FALSE)</f>
        <v>54</v>
      </c>
      <c r="G350" s="9">
        <f>VLOOKUP(A350,'Лист2'!$A$1:$F$505,5,FALSE)</f>
        <v>12211</v>
      </c>
      <c r="H350" s="9">
        <f>VLOOKUP(A350,'Лист2'!$A$1:$F$505,6,FALSE)</f>
        <v>11427</v>
      </c>
      <c r="I350" s="10">
        <f t="shared" si="2"/>
        <v>353168.8333</v>
      </c>
      <c r="J350" s="10">
        <f t="shared" si="3"/>
        <v>21</v>
      </c>
    </row>
    <row r="351" ht="14.25" customHeight="1">
      <c r="A351" s="6" t="str">
        <f t="shared" si="1"/>
        <v>2020-04-29|Новосибирск</v>
      </c>
      <c r="B351" s="11">
        <v>43950.0</v>
      </c>
      <c r="C351" s="12" t="s">
        <v>24</v>
      </c>
      <c r="D351" s="12">
        <v>12250.5</v>
      </c>
      <c r="E351" s="12">
        <v>981519.0</v>
      </c>
      <c r="F351" s="9">
        <f>VLOOKUP(A351,'Лист2'!$A$1:$F$505,4,FALSE)</f>
        <v>15</v>
      </c>
      <c r="G351" s="9">
        <f>VLOOKUP(A351,'Лист2'!$A$1:$F$505,5,FALSE)</f>
        <v>659</v>
      </c>
      <c r="H351" s="9">
        <f>VLOOKUP(A351,'Лист2'!$A$1:$F$505,6,FALSE)</f>
        <v>575</v>
      </c>
      <c r="I351" s="10">
        <f t="shared" si="2"/>
        <v>65434.6</v>
      </c>
      <c r="J351" s="10">
        <f t="shared" si="3"/>
        <v>18</v>
      </c>
    </row>
    <row r="352" ht="14.25" customHeight="1">
      <c r="A352" s="6" t="str">
        <f t="shared" si="1"/>
        <v>2020-04-28|Новосибирск</v>
      </c>
      <c r="B352" s="7">
        <v>43949.0</v>
      </c>
      <c r="C352" s="8" t="s">
        <v>24</v>
      </c>
      <c r="D352" s="8">
        <v>12541.5</v>
      </c>
      <c r="E352" s="8">
        <v>992541.0</v>
      </c>
      <c r="F352" s="9">
        <f>VLOOKUP(A352,'Лист2'!$A$1:$F$505,4,FALSE)</f>
        <v>15</v>
      </c>
      <c r="G352" s="9">
        <f>VLOOKUP(A352,'Лист2'!$A$1:$F$505,5,FALSE)</f>
        <v>636</v>
      </c>
      <c r="H352" s="9">
        <f>VLOOKUP(A352,'Лист2'!$A$1:$F$505,6,FALSE)</f>
        <v>547</v>
      </c>
      <c r="I352" s="10">
        <f t="shared" si="2"/>
        <v>66169.4</v>
      </c>
      <c r="J352" s="10">
        <f t="shared" si="3"/>
        <v>18</v>
      </c>
    </row>
    <row r="353" ht="14.25" customHeight="1">
      <c r="A353" s="6" t="str">
        <f t="shared" si="1"/>
        <v>2020-05-31|Москва Восток</v>
      </c>
      <c r="B353" s="11">
        <v>43982.0</v>
      </c>
      <c r="C353" s="12" t="s">
        <v>23</v>
      </c>
      <c r="D353" s="12">
        <v>206758.5</v>
      </c>
      <c r="E353" s="12">
        <v>2.07172485E7</v>
      </c>
      <c r="F353" s="9">
        <f>VLOOKUP(A353,'Лист2'!$A$1:$F$505,4,FALSE)</f>
        <v>54</v>
      </c>
      <c r="G353" s="9">
        <f>VLOOKUP(A353,'Лист2'!$A$1:$F$505,5,FALSE)</f>
        <v>13106</v>
      </c>
      <c r="H353" s="9">
        <f>VLOOKUP(A353,'Лист2'!$A$1:$F$505,6,FALSE)</f>
        <v>12164</v>
      </c>
      <c r="I353" s="10">
        <f t="shared" si="2"/>
        <v>383652.75</v>
      </c>
      <c r="J353" s="10">
        <f t="shared" si="3"/>
        <v>22</v>
      </c>
    </row>
    <row r="354" ht="14.25" customHeight="1">
      <c r="A354" s="6" t="str">
        <f t="shared" si="1"/>
        <v>2020-05-30|Москва Восток</v>
      </c>
      <c r="B354" s="7">
        <v>43981.0</v>
      </c>
      <c r="C354" s="8" t="s">
        <v>23</v>
      </c>
      <c r="D354" s="8">
        <v>244734.0</v>
      </c>
      <c r="E354" s="8">
        <v>2.415198E7</v>
      </c>
      <c r="F354" s="9">
        <f>VLOOKUP(A354,'Лист2'!$A$1:$F$505,4,FALSE)</f>
        <v>54</v>
      </c>
      <c r="G354" s="9">
        <f>VLOOKUP(A354,'Лист2'!$A$1:$F$505,5,FALSE)</f>
        <v>14590</v>
      </c>
      <c r="H354" s="9">
        <f>VLOOKUP(A354,'Лист2'!$A$1:$F$505,6,FALSE)</f>
        <v>13551</v>
      </c>
      <c r="I354" s="10">
        <f t="shared" si="2"/>
        <v>447258.8889</v>
      </c>
      <c r="J354" s="10">
        <f t="shared" si="3"/>
        <v>22</v>
      </c>
    </row>
    <row r="355" ht="14.25" customHeight="1">
      <c r="A355" s="6" t="str">
        <f t="shared" si="1"/>
        <v>2020-05-28|Москва Восток</v>
      </c>
      <c r="B355" s="11">
        <v>43979.0</v>
      </c>
      <c r="C355" s="12" t="s">
        <v>23</v>
      </c>
      <c r="D355" s="12">
        <v>191641.5</v>
      </c>
      <c r="E355" s="12">
        <v>1.95490365E7</v>
      </c>
      <c r="F355" s="9">
        <f>VLOOKUP(A355,'Лист2'!$A$1:$F$505,4,FALSE)</f>
        <v>54</v>
      </c>
      <c r="G355" s="9">
        <f>VLOOKUP(A355,'Лист2'!$A$1:$F$505,5,FALSE)</f>
        <v>12409</v>
      </c>
      <c r="H355" s="9">
        <f>VLOOKUP(A355,'Лист2'!$A$1:$F$505,6,FALSE)</f>
        <v>11582</v>
      </c>
      <c r="I355" s="10">
        <f t="shared" si="2"/>
        <v>362019.1944</v>
      </c>
      <c r="J355" s="10">
        <f t="shared" si="3"/>
        <v>22</v>
      </c>
    </row>
    <row r="356" ht="14.25" customHeight="1">
      <c r="A356" s="6" t="str">
        <f t="shared" si="1"/>
        <v>2020-05-16|Новосибирск</v>
      </c>
      <c r="B356" s="7">
        <v>43967.0</v>
      </c>
      <c r="C356" s="8" t="s">
        <v>24</v>
      </c>
      <c r="D356" s="8">
        <v>16368.0</v>
      </c>
      <c r="E356" s="8">
        <v>1316350.5</v>
      </c>
      <c r="F356" s="9">
        <f>VLOOKUP(A356,'Лист2'!$A$1:$F$505,4,FALSE)</f>
        <v>16</v>
      </c>
      <c r="G356" s="9">
        <f>VLOOKUP(A356,'Лист2'!$A$1:$F$505,5,FALSE)</f>
        <v>920</v>
      </c>
      <c r="H356" s="9">
        <f>VLOOKUP(A356,'Лист2'!$A$1:$F$505,6,FALSE)</f>
        <v>818</v>
      </c>
      <c r="I356" s="10">
        <f t="shared" si="2"/>
        <v>82271.90625</v>
      </c>
      <c r="J356" s="10">
        <f t="shared" si="3"/>
        <v>20</v>
      </c>
    </row>
    <row r="357" ht="14.25" customHeight="1">
      <c r="A357" s="6" t="str">
        <f t="shared" si="1"/>
        <v>2020-05-19|Новосибирск</v>
      </c>
      <c r="B357" s="11">
        <v>43970.0</v>
      </c>
      <c r="C357" s="12" t="s">
        <v>24</v>
      </c>
      <c r="D357" s="12">
        <v>14427.0</v>
      </c>
      <c r="E357" s="12">
        <v>1126810.5</v>
      </c>
      <c r="F357" s="9">
        <f>VLOOKUP(A357,'Лист2'!$A$1:$F$505,4,FALSE)</f>
        <v>17</v>
      </c>
      <c r="G357" s="9">
        <f>VLOOKUP(A357,'Лист2'!$A$1:$F$505,5,FALSE)</f>
        <v>857</v>
      </c>
      <c r="H357" s="9">
        <f>VLOOKUP(A357,'Лист2'!$A$1:$F$505,6,FALSE)</f>
        <v>757</v>
      </c>
      <c r="I357" s="10">
        <f t="shared" si="2"/>
        <v>66282.97059</v>
      </c>
      <c r="J357" s="10">
        <f t="shared" si="3"/>
        <v>21</v>
      </c>
    </row>
    <row r="358" ht="14.25" customHeight="1">
      <c r="A358" s="6" t="str">
        <f t="shared" si="1"/>
        <v>2020-05-17|Новосибирск</v>
      </c>
      <c r="B358" s="7">
        <v>43968.0</v>
      </c>
      <c r="C358" s="8" t="s">
        <v>24</v>
      </c>
      <c r="D358" s="8">
        <v>13440.0</v>
      </c>
      <c r="E358" s="8">
        <v>1157529.0</v>
      </c>
      <c r="F358" s="9">
        <f>VLOOKUP(A358,'Лист2'!$A$1:$F$505,4,FALSE)</f>
        <v>16</v>
      </c>
      <c r="G358" s="9">
        <f>VLOOKUP(A358,'Лист2'!$A$1:$F$505,5,FALSE)</f>
        <v>859</v>
      </c>
      <c r="H358" s="9">
        <f>VLOOKUP(A358,'Лист2'!$A$1:$F$505,6,FALSE)</f>
        <v>746</v>
      </c>
      <c r="I358" s="10">
        <f t="shared" si="2"/>
        <v>72345.5625</v>
      </c>
      <c r="J358" s="10">
        <f t="shared" si="3"/>
        <v>20</v>
      </c>
    </row>
    <row r="359" ht="14.25" customHeight="1">
      <c r="A359" s="6" t="str">
        <f t="shared" si="1"/>
        <v>2020-05-09|Новосибирск</v>
      </c>
      <c r="B359" s="11">
        <v>43960.0</v>
      </c>
      <c r="C359" s="12" t="s">
        <v>24</v>
      </c>
      <c r="D359" s="12">
        <v>11745.0</v>
      </c>
      <c r="E359" s="12">
        <v>955801.5</v>
      </c>
      <c r="F359" s="9">
        <f>VLOOKUP(A359,'Лист2'!$A$1:$F$505,4,FALSE)</f>
        <v>15</v>
      </c>
      <c r="G359" s="9">
        <f>VLOOKUP(A359,'Лист2'!$A$1:$F$505,5,FALSE)</f>
        <v>654</v>
      </c>
      <c r="H359" s="9">
        <f>VLOOKUP(A359,'Лист2'!$A$1:$F$505,6,FALSE)</f>
        <v>570</v>
      </c>
      <c r="I359" s="10">
        <f t="shared" si="2"/>
        <v>63720.1</v>
      </c>
      <c r="J359" s="10">
        <f t="shared" si="3"/>
        <v>19</v>
      </c>
    </row>
    <row r="360" ht="14.25" customHeight="1">
      <c r="A360" s="6" t="str">
        <f t="shared" si="1"/>
        <v>2020-05-04|Новосибирск</v>
      </c>
      <c r="B360" s="7">
        <v>43955.0</v>
      </c>
      <c r="C360" s="8" t="s">
        <v>24</v>
      </c>
      <c r="D360" s="8">
        <v>11062.5</v>
      </c>
      <c r="E360" s="8">
        <v>906343.5</v>
      </c>
      <c r="F360" s="9">
        <f>VLOOKUP(A360,'Лист2'!$A$1:$F$505,4,FALSE)</f>
        <v>15</v>
      </c>
      <c r="G360" s="9">
        <f>VLOOKUP(A360,'Лист2'!$A$1:$F$505,5,FALSE)</f>
        <v>622</v>
      </c>
      <c r="H360" s="9">
        <f>VLOOKUP(A360,'Лист2'!$A$1:$F$505,6,FALSE)</f>
        <v>538</v>
      </c>
      <c r="I360" s="10">
        <f t="shared" si="2"/>
        <v>60422.9</v>
      </c>
      <c r="J360" s="10">
        <f t="shared" si="3"/>
        <v>19</v>
      </c>
    </row>
    <row r="361" ht="14.25" customHeight="1">
      <c r="A361" s="6" t="str">
        <f t="shared" si="1"/>
        <v>2020-05-02|Новосибирск</v>
      </c>
      <c r="B361" s="11">
        <v>43953.0</v>
      </c>
      <c r="C361" s="12" t="s">
        <v>24</v>
      </c>
      <c r="D361" s="12">
        <v>10018.5</v>
      </c>
      <c r="E361" s="12">
        <v>816859.5</v>
      </c>
      <c r="F361" s="9">
        <f>VLOOKUP(A361,'Лист2'!$A$1:$F$505,4,FALSE)</f>
        <v>15</v>
      </c>
      <c r="G361" s="9">
        <f>VLOOKUP(A361,'Лист2'!$A$1:$F$505,5,FALSE)</f>
        <v>567</v>
      </c>
      <c r="H361" s="9">
        <f>VLOOKUP(A361,'Лист2'!$A$1:$F$505,6,FALSE)</f>
        <v>493</v>
      </c>
      <c r="I361" s="10">
        <f t="shared" si="2"/>
        <v>54457.3</v>
      </c>
      <c r="J361" s="10">
        <f t="shared" si="3"/>
        <v>18</v>
      </c>
    </row>
    <row r="362" ht="14.25" customHeight="1">
      <c r="A362" s="6" t="str">
        <f t="shared" si="1"/>
        <v>2020-05-26|Тюмень</v>
      </c>
      <c r="B362" s="7">
        <v>43977.0</v>
      </c>
      <c r="C362" s="8" t="s">
        <v>25</v>
      </c>
      <c r="D362" s="8">
        <v>10437.0</v>
      </c>
      <c r="E362" s="8">
        <v>833815.5</v>
      </c>
      <c r="F362" s="9">
        <f>VLOOKUP(A362,'Лист2'!$A$1:$F$505,4,FALSE)</f>
        <v>7</v>
      </c>
      <c r="G362" s="9">
        <f>VLOOKUP(A362,'Лист2'!$A$1:$F$505,5,FALSE)</f>
        <v>577</v>
      </c>
      <c r="H362" s="9">
        <f>VLOOKUP(A362,'Лист2'!$A$1:$F$505,6,FALSE)</f>
        <v>389</v>
      </c>
      <c r="I362" s="10">
        <f t="shared" si="2"/>
        <v>119116.5</v>
      </c>
      <c r="J362" s="10">
        <f t="shared" si="3"/>
        <v>22</v>
      </c>
    </row>
    <row r="363" ht="14.25" customHeight="1">
      <c r="A363" s="6" t="str">
        <f t="shared" si="1"/>
        <v>2020-05-01|Новосибирск</v>
      </c>
      <c r="B363" s="11">
        <v>43952.0</v>
      </c>
      <c r="C363" s="12" t="s">
        <v>24</v>
      </c>
      <c r="D363" s="12">
        <v>13644.0</v>
      </c>
      <c r="E363" s="12">
        <v>1134444.0</v>
      </c>
      <c r="F363" s="9">
        <f>VLOOKUP(A363,'Лист2'!$A$1:$F$505,4,FALSE)</f>
        <v>15</v>
      </c>
      <c r="G363" s="9">
        <f>VLOOKUP(A363,'Лист2'!$A$1:$F$505,5,FALSE)</f>
        <v>721</v>
      </c>
      <c r="H363" s="9">
        <f>VLOOKUP(A363,'Лист2'!$A$1:$F$505,6,FALSE)</f>
        <v>625</v>
      </c>
      <c r="I363" s="10">
        <f t="shared" si="2"/>
        <v>75629.6</v>
      </c>
      <c r="J363" s="10">
        <f t="shared" si="3"/>
        <v>18</v>
      </c>
    </row>
    <row r="364" ht="14.25" customHeight="1">
      <c r="A364" s="6" t="str">
        <f t="shared" si="1"/>
        <v>2020-05-12|Новосибирск</v>
      </c>
      <c r="B364" s="7">
        <v>43963.0</v>
      </c>
      <c r="C364" s="8" t="s">
        <v>24</v>
      </c>
      <c r="D364" s="8">
        <v>13443.0</v>
      </c>
      <c r="E364" s="8">
        <v>1092277.5</v>
      </c>
      <c r="F364" s="9">
        <f>VLOOKUP(A364,'Лист2'!$A$1:$F$505,4,FALSE)</f>
        <v>15</v>
      </c>
      <c r="G364" s="9">
        <f>VLOOKUP(A364,'Лист2'!$A$1:$F$505,5,FALSE)</f>
        <v>750</v>
      </c>
      <c r="H364" s="9">
        <f>VLOOKUP(A364,'Лист2'!$A$1:$F$505,6,FALSE)</f>
        <v>659</v>
      </c>
      <c r="I364" s="10">
        <f t="shared" si="2"/>
        <v>72818.5</v>
      </c>
      <c r="J364" s="10">
        <f t="shared" si="3"/>
        <v>20</v>
      </c>
    </row>
    <row r="365" ht="14.25" customHeight="1">
      <c r="A365" s="6" t="str">
        <f t="shared" si="1"/>
        <v>2020-05-21|Новосибирск</v>
      </c>
      <c r="B365" s="11">
        <v>43972.0</v>
      </c>
      <c r="C365" s="12" t="s">
        <v>24</v>
      </c>
      <c r="D365" s="12">
        <v>14182.5</v>
      </c>
      <c r="E365" s="12">
        <v>1172574.0</v>
      </c>
      <c r="F365" s="9">
        <f>VLOOKUP(A365,'Лист2'!$A$1:$F$505,4,FALSE)</f>
        <v>18</v>
      </c>
      <c r="G365" s="9">
        <f>VLOOKUP(A365,'Лист2'!$A$1:$F$505,5,FALSE)</f>
        <v>888</v>
      </c>
      <c r="H365" s="9">
        <f>VLOOKUP(A365,'Лист2'!$A$1:$F$505,6,FALSE)</f>
        <v>786</v>
      </c>
      <c r="I365" s="10">
        <f t="shared" si="2"/>
        <v>65143</v>
      </c>
      <c r="J365" s="10">
        <f t="shared" si="3"/>
        <v>21</v>
      </c>
    </row>
    <row r="366" ht="14.25" customHeight="1">
      <c r="A366" s="6" t="str">
        <f t="shared" si="1"/>
        <v>2020-05-20|Новосибирск</v>
      </c>
      <c r="B366" s="7">
        <v>43971.0</v>
      </c>
      <c r="C366" s="8" t="s">
        <v>24</v>
      </c>
      <c r="D366" s="8">
        <v>14928.0</v>
      </c>
      <c r="E366" s="8">
        <v>1217749.5</v>
      </c>
      <c r="F366" s="9">
        <f>VLOOKUP(A366,'Лист2'!$A$1:$F$505,4,FALSE)</f>
        <v>17</v>
      </c>
      <c r="G366" s="9">
        <f>VLOOKUP(A366,'Лист2'!$A$1:$F$505,5,FALSE)</f>
        <v>890</v>
      </c>
      <c r="H366" s="9">
        <f>VLOOKUP(A366,'Лист2'!$A$1:$F$505,6,FALSE)</f>
        <v>794</v>
      </c>
      <c r="I366" s="10">
        <f t="shared" si="2"/>
        <v>71632.32353</v>
      </c>
      <c r="J366" s="10">
        <f t="shared" si="3"/>
        <v>21</v>
      </c>
    </row>
    <row r="367" ht="14.25" customHeight="1">
      <c r="A367" s="6" t="str">
        <f t="shared" si="1"/>
        <v>2020-05-05|Новосибирск</v>
      </c>
      <c r="B367" s="11">
        <v>43956.0</v>
      </c>
      <c r="C367" s="12" t="s">
        <v>24</v>
      </c>
      <c r="D367" s="12">
        <v>13941.0</v>
      </c>
      <c r="E367" s="12">
        <v>1145575.5</v>
      </c>
      <c r="F367" s="9">
        <f>VLOOKUP(A367,'Лист2'!$A$1:$F$505,4,FALSE)</f>
        <v>15</v>
      </c>
      <c r="G367" s="9">
        <f>VLOOKUP(A367,'Лист2'!$A$1:$F$505,5,FALSE)</f>
        <v>750</v>
      </c>
      <c r="H367" s="9">
        <f>VLOOKUP(A367,'Лист2'!$A$1:$F$505,6,FALSE)</f>
        <v>658</v>
      </c>
      <c r="I367" s="10">
        <f t="shared" si="2"/>
        <v>76371.7</v>
      </c>
      <c r="J367" s="10">
        <f t="shared" si="3"/>
        <v>19</v>
      </c>
    </row>
    <row r="368" ht="14.25" customHeight="1">
      <c r="A368" s="6" t="str">
        <f t="shared" si="1"/>
        <v>2020-05-13|Новосибирск</v>
      </c>
      <c r="B368" s="7">
        <v>43964.0</v>
      </c>
      <c r="C368" s="8" t="s">
        <v>24</v>
      </c>
      <c r="D368" s="8">
        <v>14643.0</v>
      </c>
      <c r="E368" s="8">
        <v>1172691.0</v>
      </c>
      <c r="F368" s="9">
        <f>VLOOKUP(A368,'Лист2'!$A$1:$F$505,4,FALSE)</f>
        <v>15</v>
      </c>
      <c r="G368" s="9">
        <f>VLOOKUP(A368,'Лист2'!$A$1:$F$505,5,FALSE)</f>
        <v>854</v>
      </c>
      <c r="H368" s="9">
        <f>VLOOKUP(A368,'Лист2'!$A$1:$F$505,6,FALSE)</f>
        <v>756</v>
      </c>
      <c r="I368" s="10">
        <f t="shared" si="2"/>
        <v>78179.4</v>
      </c>
      <c r="J368" s="10">
        <f t="shared" si="3"/>
        <v>20</v>
      </c>
    </row>
    <row r="369" ht="14.25" customHeight="1">
      <c r="A369" s="6" t="str">
        <f t="shared" si="1"/>
        <v>2020-05-03|Новосибирск</v>
      </c>
      <c r="B369" s="11">
        <v>43954.0</v>
      </c>
      <c r="C369" s="12" t="s">
        <v>24</v>
      </c>
      <c r="D369" s="12">
        <v>10032.0</v>
      </c>
      <c r="E369" s="12">
        <v>816150.0</v>
      </c>
      <c r="F369" s="9">
        <f>VLOOKUP(A369,'Лист2'!$A$1:$F$505,4,FALSE)</f>
        <v>15</v>
      </c>
      <c r="G369" s="9">
        <f>VLOOKUP(A369,'Лист2'!$A$1:$F$505,5,FALSE)</f>
        <v>585</v>
      </c>
      <c r="H369" s="9">
        <f>VLOOKUP(A369,'Лист2'!$A$1:$F$505,6,FALSE)</f>
        <v>502</v>
      </c>
      <c r="I369" s="10">
        <f t="shared" si="2"/>
        <v>54410</v>
      </c>
      <c r="J369" s="10">
        <f t="shared" si="3"/>
        <v>18</v>
      </c>
    </row>
    <row r="370" ht="14.25" customHeight="1">
      <c r="A370" s="6" t="str">
        <f t="shared" si="1"/>
        <v>2020-05-06|Новосибирск</v>
      </c>
      <c r="B370" s="7">
        <v>43957.0</v>
      </c>
      <c r="C370" s="8" t="s">
        <v>24</v>
      </c>
      <c r="D370" s="8">
        <v>12468.0</v>
      </c>
      <c r="E370" s="8">
        <v>1016566.5</v>
      </c>
      <c r="F370" s="9">
        <f>VLOOKUP(A370,'Лист2'!$A$1:$F$505,4,FALSE)</f>
        <v>15</v>
      </c>
      <c r="G370" s="9">
        <f>VLOOKUP(A370,'Лист2'!$A$1:$F$505,5,FALSE)</f>
        <v>701</v>
      </c>
      <c r="H370" s="9">
        <f>VLOOKUP(A370,'Лист2'!$A$1:$F$505,6,FALSE)</f>
        <v>611</v>
      </c>
      <c r="I370" s="10">
        <f t="shared" si="2"/>
        <v>67771.1</v>
      </c>
      <c r="J370" s="10">
        <f t="shared" si="3"/>
        <v>19</v>
      </c>
    </row>
    <row r="371" ht="14.25" customHeight="1">
      <c r="A371" s="6" t="str">
        <f t="shared" si="1"/>
        <v>2020-05-23|Новосибирск</v>
      </c>
      <c r="B371" s="11">
        <v>43974.0</v>
      </c>
      <c r="C371" s="12" t="s">
        <v>24</v>
      </c>
      <c r="D371" s="12">
        <v>17943.0</v>
      </c>
      <c r="E371" s="12">
        <v>1457391.0</v>
      </c>
      <c r="F371" s="9">
        <f>VLOOKUP(A371,'Лист2'!$A$1:$F$505,4,FALSE)</f>
        <v>18</v>
      </c>
      <c r="G371" s="9">
        <f>VLOOKUP(A371,'Лист2'!$A$1:$F$505,5,FALSE)</f>
        <v>1031</v>
      </c>
      <c r="H371" s="9">
        <f>VLOOKUP(A371,'Лист2'!$A$1:$F$505,6,FALSE)</f>
        <v>918</v>
      </c>
      <c r="I371" s="10">
        <f t="shared" si="2"/>
        <v>80966.16667</v>
      </c>
      <c r="J371" s="10">
        <f t="shared" si="3"/>
        <v>21</v>
      </c>
    </row>
    <row r="372" ht="14.25" customHeight="1">
      <c r="A372" s="6" t="str">
        <f t="shared" si="1"/>
        <v>2020-05-25|Новосибирск</v>
      </c>
      <c r="B372" s="7">
        <v>43976.0</v>
      </c>
      <c r="C372" s="8" t="s">
        <v>24</v>
      </c>
      <c r="D372" s="8">
        <v>15807.0</v>
      </c>
      <c r="E372" s="8">
        <v>1326705.0</v>
      </c>
      <c r="F372" s="9">
        <f>VLOOKUP(A372,'Лист2'!$A$1:$F$505,4,FALSE)</f>
        <v>18</v>
      </c>
      <c r="G372" s="9">
        <f>VLOOKUP(A372,'Лист2'!$A$1:$F$505,5,FALSE)</f>
        <v>989</v>
      </c>
      <c r="H372" s="9">
        <f>VLOOKUP(A372,'Лист2'!$A$1:$F$505,6,FALSE)</f>
        <v>887</v>
      </c>
      <c r="I372" s="10">
        <f t="shared" si="2"/>
        <v>73705.83333</v>
      </c>
      <c r="J372" s="10">
        <f t="shared" si="3"/>
        <v>22</v>
      </c>
    </row>
    <row r="373" ht="14.25" customHeight="1">
      <c r="A373" s="6" t="str">
        <f t="shared" si="1"/>
        <v>2020-04-30|Новосибирск</v>
      </c>
      <c r="B373" s="11">
        <v>43951.0</v>
      </c>
      <c r="C373" s="12" t="s">
        <v>24</v>
      </c>
      <c r="D373" s="12">
        <v>11976.0</v>
      </c>
      <c r="E373" s="12">
        <v>1004511.0</v>
      </c>
      <c r="F373" s="9">
        <f>VLOOKUP(A373,'Лист2'!$A$1:$F$505,4,FALSE)</f>
        <v>15</v>
      </c>
      <c r="G373" s="9">
        <f>VLOOKUP(A373,'Лист2'!$A$1:$F$505,5,FALSE)</f>
        <v>644</v>
      </c>
      <c r="H373" s="9">
        <f>VLOOKUP(A373,'Лист2'!$A$1:$F$505,6,FALSE)</f>
        <v>550</v>
      </c>
      <c r="I373" s="10">
        <f t="shared" si="2"/>
        <v>66967.4</v>
      </c>
      <c r="J373" s="10">
        <f t="shared" si="3"/>
        <v>18</v>
      </c>
    </row>
    <row r="374" ht="14.25" customHeight="1">
      <c r="A374" s="6" t="str">
        <f t="shared" si="1"/>
        <v>2020-05-10|Новосибирск</v>
      </c>
      <c r="B374" s="7">
        <v>43961.0</v>
      </c>
      <c r="C374" s="8" t="s">
        <v>24</v>
      </c>
      <c r="D374" s="8">
        <v>14566.5</v>
      </c>
      <c r="E374" s="8">
        <v>1216557.0</v>
      </c>
      <c r="F374" s="9">
        <f>VLOOKUP(A374,'Лист2'!$A$1:$F$505,4,FALSE)</f>
        <v>15</v>
      </c>
      <c r="G374" s="9">
        <f>VLOOKUP(A374,'Лист2'!$A$1:$F$505,5,FALSE)</f>
        <v>792</v>
      </c>
      <c r="H374" s="9">
        <f>VLOOKUP(A374,'Лист2'!$A$1:$F$505,6,FALSE)</f>
        <v>695</v>
      </c>
      <c r="I374" s="10">
        <f t="shared" si="2"/>
        <v>81103.8</v>
      </c>
      <c r="J374" s="10">
        <f t="shared" si="3"/>
        <v>19</v>
      </c>
    </row>
    <row r="375" ht="14.25" customHeight="1">
      <c r="A375" s="6" t="str">
        <f t="shared" si="1"/>
        <v>2020-05-08|Новосибирск</v>
      </c>
      <c r="B375" s="11">
        <v>43959.0</v>
      </c>
      <c r="C375" s="12" t="s">
        <v>24</v>
      </c>
      <c r="D375" s="12">
        <v>12976.5</v>
      </c>
      <c r="E375" s="12">
        <v>1046848.5</v>
      </c>
      <c r="F375" s="9">
        <f>VLOOKUP(A375,'Лист2'!$A$1:$F$505,4,FALSE)</f>
        <v>15</v>
      </c>
      <c r="G375" s="9">
        <f>VLOOKUP(A375,'Лист2'!$A$1:$F$505,5,FALSE)</f>
        <v>703</v>
      </c>
      <c r="H375" s="9">
        <f>VLOOKUP(A375,'Лист2'!$A$1:$F$505,6,FALSE)</f>
        <v>609</v>
      </c>
      <c r="I375" s="10">
        <f t="shared" si="2"/>
        <v>69789.9</v>
      </c>
      <c r="J375" s="10">
        <f t="shared" si="3"/>
        <v>19</v>
      </c>
    </row>
    <row r="376" ht="14.25" customHeight="1">
      <c r="A376" s="6" t="str">
        <f t="shared" si="1"/>
        <v>2020-05-07|Новосибирск</v>
      </c>
      <c r="B376" s="7">
        <v>43958.0</v>
      </c>
      <c r="C376" s="8" t="s">
        <v>24</v>
      </c>
      <c r="D376" s="8">
        <v>11719.5</v>
      </c>
      <c r="E376" s="8">
        <v>965880.0</v>
      </c>
      <c r="F376" s="9">
        <f>VLOOKUP(A376,'Лист2'!$A$1:$F$505,4,FALSE)</f>
        <v>15</v>
      </c>
      <c r="G376" s="9">
        <f>VLOOKUP(A376,'Лист2'!$A$1:$F$505,5,FALSE)</f>
        <v>676</v>
      </c>
      <c r="H376" s="9">
        <f>VLOOKUP(A376,'Лист2'!$A$1:$F$505,6,FALSE)</f>
        <v>591</v>
      </c>
      <c r="I376" s="10">
        <f t="shared" si="2"/>
        <v>64392</v>
      </c>
      <c r="J376" s="10">
        <f t="shared" si="3"/>
        <v>19</v>
      </c>
    </row>
    <row r="377" ht="14.25" customHeight="1">
      <c r="A377" s="6" t="str">
        <f t="shared" si="1"/>
        <v>2020-05-24|Новосибирск</v>
      </c>
      <c r="B377" s="11">
        <v>43975.0</v>
      </c>
      <c r="C377" s="12" t="s">
        <v>24</v>
      </c>
      <c r="D377" s="12">
        <v>17197.5</v>
      </c>
      <c r="E377" s="12">
        <v>1386262.5</v>
      </c>
      <c r="F377" s="9">
        <f>VLOOKUP(A377,'Лист2'!$A$1:$F$505,4,FALSE)</f>
        <v>18</v>
      </c>
      <c r="G377" s="9">
        <f>VLOOKUP(A377,'Лист2'!$A$1:$F$505,5,FALSE)</f>
        <v>1006</v>
      </c>
      <c r="H377" s="9">
        <f>VLOOKUP(A377,'Лист2'!$A$1:$F$505,6,FALSE)</f>
        <v>904</v>
      </c>
      <c r="I377" s="10">
        <f t="shared" si="2"/>
        <v>77014.58333</v>
      </c>
      <c r="J377" s="10">
        <f t="shared" si="3"/>
        <v>21</v>
      </c>
    </row>
    <row r="378" ht="14.25" customHeight="1">
      <c r="A378" s="6" t="str">
        <f t="shared" si="1"/>
        <v>2020-05-26|Новосибирск</v>
      </c>
      <c r="B378" s="7">
        <v>43977.0</v>
      </c>
      <c r="C378" s="8" t="s">
        <v>24</v>
      </c>
      <c r="D378" s="8">
        <v>14419.5</v>
      </c>
      <c r="E378" s="8">
        <v>1210456.5</v>
      </c>
      <c r="F378" s="9">
        <f>VLOOKUP(A378,'Лист2'!$A$1:$F$505,4,FALSE)</f>
        <v>18</v>
      </c>
      <c r="G378" s="9">
        <f>VLOOKUP(A378,'Лист2'!$A$1:$F$505,5,FALSE)</f>
        <v>914</v>
      </c>
      <c r="H378" s="9">
        <f>VLOOKUP(A378,'Лист2'!$A$1:$F$505,6,FALSE)</f>
        <v>804</v>
      </c>
      <c r="I378" s="10">
        <f t="shared" si="2"/>
        <v>67247.58333</v>
      </c>
      <c r="J378" s="10">
        <f t="shared" si="3"/>
        <v>22</v>
      </c>
    </row>
    <row r="379" ht="14.25" customHeight="1">
      <c r="A379" s="6" t="str">
        <f t="shared" si="1"/>
        <v>2020-06-01|Самара</v>
      </c>
      <c r="B379" s="11">
        <v>43983.0</v>
      </c>
      <c r="C379" s="12" t="s">
        <v>10</v>
      </c>
      <c r="D379" s="12">
        <v>7816.5</v>
      </c>
      <c r="E379" s="12">
        <v>636345.0</v>
      </c>
      <c r="F379" s="9">
        <f>VLOOKUP(A379,'Лист2'!$A$1:$F$505,4,FALSE)</f>
        <v>15</v>
      </c>
      <c r="G379" s="9">
        <f>VLOOKUP(A379,'Лист2'!$A$1:$F$505,5,FALSE)</f>
        <v>453</v>
      </c>
      <c r="H379" s="9">
        <f>VLOOKUP(A379,'Лист2'!$A$1:$F$505,6,FALSE)</f>
        <v>370</v>
      </c>
      <c r="I379" s="10">
        <f t="shared" si="2"/>
        <v>42423</v>
      </c>
      <c r="J379" s="10">
        <f t="shared" si="3"/>
        <v>23</v>
      </c>
    </row>
    <row r="380" ht="14.25" customHeight="1">
      <c r="A380" s="6" t="str">
        <f t="shared" si="1"/>
        <v>2020-05-31|Томск</v>
      </c>
      <c r="B380" s="7">
        <v>43982.0</v>
      </c>
      <c r="C380" s="8" t="s">
        <v>26</v>
      </c>
      <c r="D380" s="8">
        <v>6409.5</v>
      </c>
      <c r="E380" s="8">
        <v>493893.0</v>
      </c>
      <c r="F380" s="9">
        <f>VLOOKUP(A380,'Лист2'!$A$1:$F$505,4,FALSE)</f>
        <v>9</v>
      </c>
      <c r="G380" s="9">
        <f>VLOOKUP(A380,'Лист2'!$A$1:$F$505,5,FALSE)</f>
        <v>345</v>
      </c>
      <c r="H380" s="9">
        <f>VLOOKUP(A380,'Лист2'!$A$1:$F$505,6,FALSE)</f>
        <v>255</v>
      </c>
      <c r="I380" s="10">
        <f t="shared" si="2"/>
        <v>54877</v>
      </c>
      <c r="J380" s="10">
        <f t="shared" si="3"/>
        <v>22</v>
      </c>
    </row>
    <row r="381" ht="14.25" customHeight="1">
      <c r="A381" s="6" t="str">
        <f t="shared" si="1"/>
        <v>2020-05-30|Тюмень</v>
      </c>
      <c r="B381" s="11">
        <v>43981.0</v>
      </c>
      <c r="C381" s="12" t="s">
        <v>25</v>
      </c>
      <c r="D381" s="12">
        <v>11220.0</v>
      </c>
      <c r="E381" s="12">
        <v>928675.5</v>
      </c>
      <c r="F381" s="9">
        <f>VLOOKUP(A381,'Лист2'!$A$1:$F$505,4,FALSE)</f>
        <v>7</v>
      </c>
      <c r="G381" s="9">
        <f>VLOOKUP(A381,'Лист2'!$A$1:$F$505,5,FALSE)</f>
        <v>532</v>
      </c>
      <c r="H381" s="9">
        <f>VLOOKUP(A381,'Лист2'!$A$1:$F$505,6,FALSE)</f>
        <v>449</v>
      </c>
      <c r="I381" s="10">
        <f t="shared" si="2"/>
        <v>132667.9286</v>
      </c>
      <c r="J381" s="10">
        <f t="shared" si="3"/>
        <v>22</v>
      </c>
    </row>
    <row r="382" ht="14.25" customHeight="1">
      <c r="A382" s="6" t="str">
        <f t="shared" si="1"/>
        <v>2020-05-29|Самара</v>
      </c>
      <c r="B382" s="7">
        <v>43980.0</v>
      </c>
      <c r="C382" s="8" t="s">
        <v>10</v>
      </c>
      <c r="D382" s="8">
        <v>8350.5</v>
      </c>
      <c r="E382" s="8">
        <v>651237.0</v>
      </c>
      <c r="F382" s="9">
        <f>VLOOKUP(A382,'Лист2'!$A$1:$F$505,4,FALSE)</f>
        <v>15</v>
      </c>
      <c r="G382" s="9">
        <f>VLOOKUP(A382,'Лист2'!$A$1:$F$505,5,FALSE)</f>
        <v>400</v>
      </c>
      <c r="H382" s="9">
        <f>VLOOKUP(A382,'Лист2'!$A$1:$F$505,6,FALSE)</f>
        <v>329</v>
      </c>
      <c r="I382" s="10">
        <f t="shared" si="2"/>
        <v>43415.8</v>
      </c>
      <c r="J382" s="10">
        <f t="shared" si="3"/>
        <v>22</v>
      </c>
    </row>
    <row r="383" ht="14.25" customHeight="1">
      <c r="A383" s="6" t="str">
        <f t="shared" si="1"/>
        <v>2020-05-28|Тюмень</v>
      </c>
      <c r="B383" s="11">
        <v>43979.0</v>
      </c>
      <c r="C383" s="12" t="s">
        <v>25</v>
      </c>
      <c r="D383" s="12">
        <v>8428.5</v>
      </c>
      <c r="E383" s="12">
        <v>694669.5</v>
      </c>
      <c r="F383" s="9">
        <f>VLOOKUP(A383,'Лист2'!$A$1:$F$505,4,FALSE)</f>
        <v>7</v>
      </c>
      <c r="G383" s="9">
        <f>VLOOKUP(A383,'Лист2'!$A$1:$F$505,5,FALSE)</f>
        <v>420</v>
      </c>
      <c r="H383" s="9">
        <f>VLOOKUP(A383,'Лист2'!$A$1:$F$505,6,FALSE)</f>
        <v>347</v>
      </c>
      <c r="I383" s="10">
        <f t="shared" si="2"/>
        <v>99238.5</v>
      </c>
      <c r="J383" s="10">
        <f t="shared" si="3"/>
        <v>22</v>
      </c>
    </row>
    <row r="384" ht="14.25" customHeight="1">
      <c r="A384" s="6" t="str">
        <f t="shared" si="1"/>
        <v>2020-05-27|Кемерово</v>
      </c>
      <c r="B384" s="7">
        <v>43978.0</v>
      </c>
      <c r="C384" s="8" t="s">
        <v>11</v>
      </c>
      <c r="D384" s="8">
        <v>32817.0</v>
      </c>
      <c r="E384" s="8">
        <v>3015751.5</v>
      </c>
      <c r="F384" s="9">
        <f>VLOOKUP(A384,'Лист2'!$A$1:$F$505,4,FALSE)</f>
        <v>20</v>
      </c>
      <c r="G384" s="9">
        <f>VLOOKUP(A384,'Лист2'!$A$1:$F$505,5,FALSE)</f>
        <v>2079</v>
      </c>
      <c r="H384" s="9">
        <f>VLOOKUP(A384,'Лист2'!$A$1:$F$505,6,FALSE)</f>
        <v>1893</v>
      </c>
      <c r="I384" s="10">
        <f t="shared" si="2"/>
        <v>150787.575</v>
      </c>
      <c r="J384" s="10">
        <f t="shared" si="3"/>
        <v>22</v>
      </c>
    </row>
    <row r="385" ht="14.25" customHeight="1">
      <c r="A385" s="6" t="str">
        <f t="shared" si="1"/>
        <v>2020-05-22|Кемерово</v>
      </c>
      <c r="B385" s="11">
        <v>43973.0</v>
      </c>
      <c r="C385" s="12" t="s">
        <v>11</v>
      </c>
      <c r="D385" s="12">
        <v>36031.5</v>
      </c>
      <c r="E385" s="12">
        <v>3091069.5</v>
      </c>
      <c r="F385" s="9">
        <f>VLOOKUP(A385,'Лист2'!$A$1:$F$505,4,FALSE)</f>
        <v>21</v>
      </c>
      <c r="G385" s="9">
        <f>VLOOKUP(A385,'Лист2'!$A$1:$F$505,5,FALSE)</f>
        <v>2046</v>
      </c>
      <c r="H385" s="9">
        <f>VLOOKUP(A385,'Лист2'!$A$1:$F$505,6,FALSE)</f>
        <v>1853</v>
      </c>
      <c r="I385" s="10">
        <f t="shared" si="2"/>
        <v>147193.7857</v>
      </c>
      <c r="J385" s="10">
        <f t="shared" si="3"/>
        <v>21</v>
      </c>
    </row>
    <row r="386" ht="14.25" customHeight="1">
      <c r="A386" s="6" t="str">
        <f t="shared" si="1"/>
        <v>2020-05-31|Уфа</v>
      </c>
      <c r="B386" s="7">
        <v>43982.0</v>
      </c>
      <c r="C386" s="8" t="s">
        <v>27</v>
      </c>
      <c r="D386" s="8">
        <v>5127.0</v>
      </c>
      <c r="E386" s="8">
        <v>468835.5</v>
      </c>
      <c r="F386" s="9">
        <f>VLOOKUP(A386,'Лист2'!$A$1:$F$505,4,FALSE)</f>
        <v>6</v>
      </c>
      <c r="G386" s="9">
        <f>VLOOKUP(A386,'Лист2'!$A$1:$F$505,5,FALSE)</f>
        <v>261</v>
      </c>
      <c r="H386" s="9">
        <f>VLOOKUP(A386,'Лист2'!$A$1:$F$505,6,FALSE)</f>
        <v>188</v>
      </c>
      <c r="I386" s="10">
        <f t="shared" si="2"/>
        <v>78139.25</v>
      </c>
      <c r="J386" s="10">
        <f t="shared" si="3"/>
        <v>22</v>
      </c>
    </row>
    <row r="387" ht="14.25" customHeight="1">
      <c r="A387" s="6" t="str">
        <f t="shared" si="1"/>
        <v>2020-05-11|Кемерово</v>
      </c>
      <c r="B387" s="11">
        <v>43962.0</v>
      </c>
      <c r="C387" s="12" t="s">
        <v>11</v>
      </c>
      <c r="D387" s="12">
        <v>27187.5</v>
      </c>
      <c r="E387" s="12">
        <v>2479396.5</v>
      </c>
      <c r="F387" s="9">
        <f>VLOOKUP(A387,'Лист2'!$A$1:$F$505,4,FALSE)</f>
        <v>21</v>
      </c>
      <c r="G387" s="9">
        <f>VLOOKUP(A387,'Лист2'!$A$1:$F$505,5,FALSE)</f>
        <v>1597</v>
      </c>
      <c r="H387" s="9">
        <f>VLOOKUP(A387,'Лист2'!$A$1:$F$505,6,FALSE)</f>
        <v>1457</v>
      </c>
      <c r="I387" s="10">
        <f t="shared" si="2"/>
        <v>118066.5</v>
      </c>
      <c r="J387" s="10">
        <f t="shared" si="3"/>
        <v>20</v>
      </c>
    </row>
    <row r="388" ht="14.25" customHeight="1">
      <c r="A388" s="6" t="str">
        <f t="shared" si="1"/>
        <v>2020-05-30|Новосибирск</v>
      </c>
      <c r="B388" s="7">
        <v>43981.0</v>
      </c>
      <c r="C388" s="8" t="s">
        <v>24</v>
      </c>
      <c r="D388" s="8">
        <v>20688.0</v>
      </c>
      <c r="E388" s="8">
        <v>1773154.5</v>
      </c>
      <c r="F388" s="9">
        <f>VLOOKUP(A388,'Лист2'!$A$1:$F$505,4,FALSE)</f>
        <v>18</v>
      </c>
      <c r="G388" s="9">
        <f>VLOOKUP(A388,'Лист2'!$A$1:$F$505,5,FALSE)</f>
        <v>1216</v>
      </c>
      <c r="H388" s="9">
        <f>VLOOKUP(A388,'Лист2'!$A$1:$F$505,6,FALSE)</f>
        <v>1101</v>
      </c>
      <c r="I388" s="10">
        <f t="shared" si="2"/>
        <v>98508.58333</v>
      </c>
      <c r="J388" s="10">
        <f t="shared" si="3"/>
        <v>22</v>
      </c>
    </row>
    <row r="389" ht="14.25" customHeight="1">
      <c r="A389" s="6" t="str">
        <f t="shared" si="1"/>
        <v>2020-05-28|Новосибирск</v>
      </c>
      <c r="B389" s="11">
        <v>43979.0</v>
      </c>
      <c r="C389" s="12" t="s">
        <v>24</v>
      </c>
      <c r="D389" s="12">
        <v>15678.0</v>
      </c>
      <c r="E389" s="12">
        <v>1387443.0</v>
      </c>
      <c r="F389" s="9">
        <f>VLOOKUP(A389,'Лист2'!$A$1:$F$505,4,FALSE)</f>
        <v>18</v>
      </c>
      <c r="G389" s="9">
        <f>VLOOKUP(A389,'Лист2'!$A$1:$F$505,5,FALSE)</f>
        <v>1020</v>
      </c>
      <c r="H389" s="9">
        <f>VLOOKUP(A389,'Лист2'!$A$1:$F$505,6,FALSE)</f>
        <v>911</v>
      </c>
      <c r="I389" s="10">
        <f t="shared" si="2"/>
        <v>77080.16667</v>
      </c>
      <c r="J389" s="10">
        <f t="shared" si="3"/>
        <v>22</v>
      </c>
    </row>
    <row r="390" ht="14.25" customHeight="1">
      <c r="A390" s="6" t="str">
        <f t="shared" si="1"/>
        <v>2020-05-18|Кемерово</v>
      </c>
      <c r="B390" s="7">
        <v>43969.0</v>
      </c>
      <c r="C390" s="8" t="s">
        <v>11</v>
      </c>
      <c r="D390" s="8">
        <v>31329.0</v>
      </c>
      <c r="E390" s="8">
        <v>2826379.5</v>
      </c>
      <c r="F390" s="9">
        <f>VLOOKUP(A390,'Лист2'!$A$1:$F$505,4,FALSE)</f>
        <v>21</v>
      </c>
      <c r="G390" s="9">
        <f>VLOOKUP(A390,'Лист2'!$A$1:$F$505,5,FALSE)</f>
        <v>1834</v>
      </c>
      <c r="H390" s="9">
        <f>VLOOKUP(A390,'Лист2'!$A$1:$F$505,6,FALSE)</f>
        <v>1660</v>
      </c>
      <c r="I390" s="10">
        <f t="shared" si="2"/>
        <v>134589.5</v>
      </c>
      <c r="J390" s="10">
        <f t="shared" si="3"/>
        <v>21</v>
      </c>
    </row>
    <row r="391" ht="14.25" customHeight="1">
      <c r="A391" s="6" t="str">
        <f t="shared" si="1"/>
        <v>2020-05-14|Кемерово</v>
      </c>
      <c r="B391" s="11">
        <v>43965.0</v>
      </c>
      <c r="C391" s="12" t="s">
        <v>11</v>
      </c>
      <c r="D391" s="12">
        <v>29658.0</v>
      </c>
      <c r="E391" s="12">
        <v>2703132.0</v>
      </c>
      <c r="F391" s="9">
        <f>VLOOKUP(A391,'Лист2'!$A$1:$F$505,4,FALSE)</f>
        <v>21</v>
      </c>
      <c r="G391" s="9">
        <f>VLOOKUP(A391,'Лист2'!$A$1:$F$505,5,FALSE)</f>
        <v>1706</v>
      </c>
      <c r="H391" s="9">
        <f>VLOOKUP(A391,'Лист2'!$A$1:$F$505,6,FALSE)</f>
        <v>1548</v>
      </c>
      <c r="I391" s="10">
        <f t="shared" si="2"/>
        <v>128720.5714</v>
      </c>
      <c r="J391" s="10">
        <f t="shared" si="3"/>
        <v>20</v>
      </c>
    </row>
    <row r="392" ht="14.25" customHeight="1">
      <c r="A392" s="6" t="str">
        <f t="shared" si="1"/>
        <v>2020-05-15|Кемерово</v>
      </c>
      <c r="B392" s="7">
        <v>43966.0</v>
      </c>
      <c r="C392" s="8" t="s">
        <v>11</v>
      </c>
      <c r="D392" s="8">
        <v>34150.5</v>
      </c>
      <c r="E392" s="8">
        <v>3038293.5</v>
      </c>
      <c r="F392" s="9">
        <f>VLOOKUP(A392,'Лист2'!$A$1:$F$505,4,FALSE)</f>
        <v>21</v>
      </c>
      <c r="G392" s="9">
        <f>VLOOKUP(A392,'Лист2'!$A$1:$F$505,5,FALSE)</f>
        <v>1926</v>
      </c>
      <c r="H392" s="9">
        <f>VLOOKUP(A392,'Лист2'!$A$1:$F$505,6,FALSE)</f>
        <v>1742</v>
      </c>
      <c r="I392" s="10">
        <f t="shared" si="2"/>
        <v>144680.6429</v>
      </c>
      <c r="J392" s="10">
        <f t="shared" si="3"/>
        <v>20</v>
      </c>
    </row>
    <row r="393" ht="14.25" customHeight="1">
      <c r="A393" s="6" t="str">
        <f t="shared" si="1"/>
        <v>2020-06-01|Кемерово</v>
      </c>
      <c r="B393" s="11">
        <v>43983.0</v>
      </c>
      <c r="C393" s="12" t="s">
        <v>11</v>
      </c>
      <c r="D393" s="12">
        <v>31947.0</v>
      </c>
      <c r="E393" s="12">
        <v>2945035.5</v>
      </c>
      <c r="F393" s="9">
        <f>VLOOKUP(A393,'Лист2'!$A$1:$F$505,4,FALSE)</f>
        <v>21</v>
      </c>
      <c r="G393" s="9">
        <f>VLOOKUP(A393,'Лист2'!$A$1:$F$505,5,FALSE)</f>
        <v>2025</v>
      </c>
      <c r="H393" s="9">
        <f>VLOOKUP(A393,'Лист2'!$A$1:$F$505,6,FALSE)</f>
        <v>1849</v>
      </c>
      <c r="I393" s="10">
        <f t="shared" si="2"/>
        <v>140239.7857</v>
      </c>
      <c r="J393" s="10">
        <f t="shared" si="3"/>
        <v>23</v>
      </c>
    </row>
    <row r="394" ht="14.25" customHeight="1">
      <c r="A394" s="6" t="str">
        <f t="shared" si="1"/>
        <v>2020-05-31|Тюмень</v>
      </c>
      <c r="B394" s="7">
        <v>43982.0</v>
      </c>
      <c r="C394" s="8" t="s">
        <v>25</v>
      </c>
      <c r="D394" s="8">
        <v>10416.0</v>
      </c>
      <c r="E394" s="8">
        <v>866023.5</v>
      </c>
      <c r="F394" s="9">
        <f>VLOOKUP(A394,'Лист2'!$A$1:$F$505,4,FALSE)</f>
        <v>7</v>
      </c>
      <c r="G394" s="9">
        <f>VLOOKUP(A394,'Лист2'!$A$1:$F$505,5,FALSE)</f>
        <v>530</v>
      </c>
      <c r="H394" s="9">
        <f>VLOOKUP(A394,'Лист2'!$A$1:$F$505,6,FALSE)</f>
        <v>447</v>
      </c>
      <c r="I394" s="10">
        <f t="shared" si="2"/>
        <v>123717.6429</v>
      </c>
      <c r="J394" s="10">
        <f t="shared" si="3"/>
        <v>22</v>
      </c>
    </row>
    <row r="395" ht="14.25" customHeight="1">
      <c r="A395" s="6" t="str">
        <f t="shared" si="1"/>
        <v>2020-05-29|Кемерово</v>
      </c>
      <c r="B395" s="11">
        <v>43980.0</v>
      </c>
      <c r="C395" s="12" t="s">
        <v>11</v>
      </c>
      <c r="D395" s="12">
        <v>35431.5</v>
      </c>
      <c r="E395" s="12">
        <v>3193167.0</v>
      </c>
      <c r="F395" s="9">
        <f>VLOOKUP(A395,'Лист2'!$A$1:$F$505,4,FALSE)</f>
        <v>20</v>
      </c>
      <c r="G395" s="9">
        <f>VLOOKUP(A395,'Лист2'!$A$1:$F$505,5,FALSE)</f>
        <v>2111</v>
      </c>
      <c r="H395" s="9">
        <f>VLOOKUP(A395,'Лист2'!$A$1:$F$505,6,FALSE)</f>
        <v>1917</v>
      </c>
      <c r="I395" s="10">
        <f t="shared" si="2"/>
        <v>159658.35</v>
      </c>
      <c r="J395" s="10">
        <f t="shared" si="3"/>
        <v>22</v>
      </c>
    </row>
    <row r="396" ht="14.25" customHeight="1">
      <c r="A396" s="6" t="str">
        <f t="shared" si="1"/>
        <v>2020-05-27|Екатеринбург</v>
      </c>
      <c r="B396" s="7">
        <v>43978.0</v>
      </c>
      <c r="C396" s="8" t="s">
        <v>12</v>
      </c>
      <c r="D396" s="8">
        <v>78544.5</v>
      </c>
      <c r="E396" s="8">
        <v>6701083.5</v>
      </c>
      <c r="F396" s="9">
        <f>VLOOKUP(A396,'Лист2'!$A$1:$F$505,4,FALSE)</f>
        <v>31</v>
      </c>
      <c r="G396" s="9">
        <f>VLOOKUP(A396,'Лист2'!$A$1:$F$505,5,FALSE)</f>
        <v>5330</v>
      </c>
      <c r="H396" s="9">
        <f>VLOOKUP(A396,'Лист2'!$A$1:$F$505,6,FALSE)</f>
        <v>4977</v>
      </c>
      <c r="I396" s="10">
        <f t="shared" si="2"/>
        <v>216163.9839</v>
      </c>
      <c r="J396" s="10">
        <f t="shared" si="3"/>
        <v>22</v>
      </c>
    </row>
    <row r="397" ht="14.25" customHeight="1">
      <c r="A397" s="6" t="str">
        <f t="shared" si="1"/>
        <v>2020-05-22|Екатеринбург</v>
      </c>
      <c r="B397" s="11">
        <v>43973.0</v>
      </c>
      <c r="C397" s="12" t="s">
        <v>12</v>
      </c>
      <c r="D397" s="12">
        <v>97963.5</v>
      </c>
      <c r="E397" s="12">
        <v>7728465.0</v>
      </c>
      <c r="F397" s="9">
        <f>VLOOKUP(A397,'Лист2'!$A$1:$F$505,4,FALSE)</f>
        <v>31</v>
      </c>
      <c r="G397" s="9">
        <f>VLOOKUP(A397,'Лист2'!$A$1:$F$505,5,FALSE)</f>
        <v>5965</v>
      </c>
      <c r="H397" s="9">
        <f>VLOOKUP(A397,'Лист2'!$A$1:$F$505,6,FALSE)</f>
        <v>5533</v>
      </c>
      <c r="I397" s="10">
        <f t="shared" si="2"/>
        <v>249305.3226</v>
      </c>
      <c r="J397" s="10">
        <f t="shared" si="3"/>
        <v>21</v>
      </c>
    </row>
    <row r="398" ht="14.25" customHeight="1">
      <c r="A398" s="6" t="str">
        <f t="shared" si="1"/>
        <v>2020-06-01|Екатеринбург</v>
      </c>
      <c r="B398" s="7">
        <v>43983.0</v>
      </c>
      <c r="C398" s="8" t="s">
        <v>12</v>
      </c>
      <c r="D398" s="8">
        <v>77269.5</v>
      </c>
      <c r="E398" s="8">
        <v>6829921.5</v>
      </c>
      <c r="F398" s="9">
        <f>VLOOKUP(A398,'Лист2'!$A$1:$F$505,4,FALSE)</f>
        <v>31</v>
      </c>
      <c r="G398" s="9">
        <f>VLOOKUP(A398,'Лист2'!$A$1:$F$505,5,FALSE)</f>
        <v>5468</v>
      </c>
      <c r="H398" s="9">
        <f>VLOOKUP(A398,'Лист2'!$A$1:$F$505,6,FALSE)</f>
        <v>5081</v>
      </c>
      <c r="I398" s="10">
        <f t="shared" si="2"/>
        <v>220320.0484</v>
      </c>
      <c r="J398" s="10">
        <f t="shared" si="3"/>
        <v>23</v>
      </c>
    </row>
    <row r="399" ht="14.25" customHeight="1">
      <c r="A399" s="6" t="str">
        <f t="shared" si="1"/>
        <v>2020-05-31|Новосибирск</v>
      </c>
      <c r="B399" s="11">
        <v>43982.0</v>
      </c>
      <c r="C399" s="12" t="s">
        <v>24</v>
      </c>
      <c r="D399" s="12">
        <v>16143.0</v>
      </c>
      <c r="E399" s="12">
        <v>1423410.0</v>
      </c>
      <c r="F399" s="9">
        <f>VLOOKUP(A399,'Лист2'!$A$1:$F$505,4,FALSE)</f>
        <v>18</v>
      </c>
      <c r="G399" s="9">
        <f>VLOOKUP(A399,'Лист2'!$A$1:$F$505,5,FALSE)</f>
        <v>1029</v>
      </c>
      <c r="H399" s="9">
        <f>VLOOKUP(A399,'Лист2'!$A$1:$F$505,6,FALSE)</f>
        <v>925</v>
      </c>
      <c r="I399" s="10">
        <f t="shared" si="2"/>
        <v>79078.33333</v>
      </c>
      <c r="J399" s="10">
        <f t="shared" si="3"/>
        <v>22</v>
      </c>
    </row>
    <row r="400" ht="14.25" customHeight="1">
      <c r="A400" s="6" t="str">
        <f t="shared" si="1"/>
        <v>2020-05-11|Екатеринбург</v>
      </c>
      <c r="B400" s="7">
        <v>43962.0</v>
      </c>
      <c r="C400" s="8" t="s">
        <v>12</v>
      </c>
      <c r="D400" s="8">
        <v>72220.5</v>
      </c>
      <c r="E400" s="8">
        <v>6398719.5</v>
      </c>
      <c r="F400" s="9">
        <f>VLOOKUP(A400,'Лист2'!$A$1:$F$505,4,FALSE)</f>
        <v>31</v>
      </c>
      <c r="G400" s="9">
        <f>VLOOKUP(A400,'Лист2'!$A$1:$F$505,5,FALSE)</f>
        <v>4826</v>
      </c>
      <c r="H400" s="9">
        <f>VLOOKUP(A400,'Лист2'!$A$1:$F$505,6,FALSE)</f>
        <v>4483</v>
      </c>
      <c r="I400" s="10">
        <f t="shared" si="2"/>
        <v>206410.3065</v>
      </c>
      <c r="J400" s="10">
        <f t="shared" si="3"/>
        <v>20</v>
      </c>
    </row>
    <row r="401" ht="14.25" customHeight="1">
      <c r="A401" s="6" t="str">
        <f t="shared" si="1"/>
        <v>2020-05-18|Екатеринбург</v>
      </c>
      <c r="B401" s="11">
        <v>43969.0</v>
      </c>
      <c r="C401" s="12" t="s">
        <v>12</v>
      </c>
      <c r="D401" s="12">
        <v>78058.5</v>
      </c>
      <c r="E401" s="12">
        <v>6609714.0</v>
      </c>
      <c r="F401" s="9">
        <f>VLOOKUP(A401,'Лист2'!$A$1:$F$505,4,FALSE)</f>
        <v>31</v>
      </c>
      <c r="G401" s="9">
        <f>VLOOKUP(A401,'Лист2'!$A$1:$F$505,5,FALSE)</f>
        <v>5165</v>
      </c>
      <c r="H401" s="9">
        <f>VLOOKUP(A401,'Лист2'!$A$1:$F$505,6,FALSE)</f>
        <v>4813</v>
      </c>
      <c r="I401" s="10">
        <f t="shared" si="2"/>
        <v>213216.5806</v>
      </c>
      <c r="J401" s="10">
        <f t="shared" si="3"/>
        <v>21</v>
      </c>
    </row>
    <row r="402" ht="14.25" customHeight="1">
      <c r="A402" s="6" t="str">
        <f t="shared" si="1"/>
        <v>2020-05-14|Екатеринбург</v>
      </c>
      <c r="B402" s="7">
        <v>43965.0</v>
      </c>
      <c r="C402" s="8" t="s">
        <v>12</v>
      </c>
      <c r="D402" s="8">
        <v>70498.5</v>
      </c>
      <c r="E402" s="8">
        <v>6053649.0</v>
      </c>
      <c r="F402" s="9">
        <f>VLOOKUP(A402,'Лист2'!$A$1:$F$505,4,FALSE)</f>
        <v>31</v>
      </c>
      <c r="G402" s="9">
        <f>VLOOKUP(A402,'Лист2'!$A$1:$F$505,5,FALSE)</f>
        <v>4695</v>
      </c>
      <c r="H402" s="9">
        <f>VLOOKUP(A402,'Лист2'!$A$1:$F$505,6,FALSE)</f>
        <v>4372</v>
      </c>
      <c r="I402" s="10">
        <f t="shared" si="2"/>
        <v>195279</v>
      </c>
      <c r="J402" s="10">
        <f t="shared" si="3"/>
        <v>20</v>
      </c>
    </row>
    <row r="403" ht="14.25" customHeight="1">
      <c r="A403" s="6" t="str">
        <f t="shared" si="1"/>
        <v>2020-05-15|Екатеринбург</v>
      </c>
      <c r="B403" s="11">
        <v>43966.0</v>
      </c>
      <c r="C403" s="12" t="s">
        <v>12</v>
      </c>
      <c r="D403" s="12">
        <v>78961.5</v>
      </c>
      <c r="E403" s="12">
        <v>6876454.5</v>
      </c>
      <c r="F403" s="9">
        <f>VLOOKUP(A403,'Лист2'!$A$1:$F$505,4,FALSE)</f>
        <v>31</v>
      </c>
      <c r="G403" s="9">
        <f>VLOOKUP(A403,'Лист2'!$A$1:$F$505,5,FALSE)</f>
        <v>5184</v>
      </c>
      <c r="H403" s="9">
        <f>VLOOKUP(A403,'Лист2'!$A$1:$F$505,6,FALSE)</f>
        <v>4778</v>
      </c>
      <c r="I403" s="10">
        <f t="shared" si="2"/>
        <v>221821.1129</v>
      </c>
      <c r="J403" s="10">
        <f t="shared" si="3"/>
        <v>20</v>
      </c>
    </row>
    <row r="404" ht="14.25" customHeight="1">
      <c r="A404" s="6" t="str">
        <f t="shared" si="1"/>
        <v>2020-05-27|Тольятти</v>
      </c>
      <c r="B404" s="7">
        <v>43978.0</v>
      </c>
      <c r="C404" s="8" t="s">
        <v>13</v>
      </c>
      <c r="D404" s="8">
        <v>12490.5</v>
      </c>
      <c r="E404" s="8">
        <v>1054798.5</v>
      </c>
      <c r="F404" s="9">
        <f>VLOOKUP(A404,'Лист2'!$A$1:$F$505,4,FALSE)</f>
        <v>10</v>
      </c>
      <c r="G404" s="9">
        <f>VLOOKUP(A404,'Лист2'!$A$1:$F$505,5,FALSE)</f>
        <v>757</v>
      </c>
      <c r="H404" s="9">
        <f>VLOOKUP(A404,'Лист2'!$A$1:$F$505,6,FALSE)</f>
        <v>660</v>
      </c>
      <c r="I404" s="10">
        <f t="shared" si="2"/>
        <v>105479.85</v>
      </c>
      <c r="J404" s="10">
        <f t="shared" si="3"/>
        <v>22</v>
      </c>
    </row>
    <row r="405" ht="14.25" customHeight="1">
      <c r="A405" s="6" t="str">
        <f t="shared" si="1"/>
        <v>2020-05-22|Тольятти</v>
      </c>
      <c r="B405" s="11">
        <v>43973.0</v>
      </c>
      <c r="C405" s="12" t="s">
        <v>13</v>
      </c>
      <c r="D405" s="12">
        <v>18036.0</v>
      </c>
      <c r="E405" s="12">
        <v>1455049.5</v>
      </c>
      <c r="F405" s="9">
        <f>VLOOKUP(A405,'Лист2'!$A$1:$F$505,4,FALSE)</f>
        <v>10</v>
      </c>
      <c r="G405" s="9">
        <f>VLOOKUP(A405,'Лист2'!$A$1:$F$505,5,FALSE)</f>
        <v>965</v>
      </c>
      <c r="H405" s="9">
        <f>VLOOKUP(A405,'Лист2'!$A$1:$F$505,6,FALSE)</f>
        <v>861</v>
      </c>
      <c r="I405" s="10">
        <f t="shared" si="2"/>
        <v>145504.95</v>
      </c>
      <c r="J405" s="10">
        <f t="shared" si="3"/>
        <v>21</v>
      </c>
    </row>
    <row r="406" ht="14.25" customHeight="1">
      <c r="A406" s="6" t="str">
        <f t="shared" si="1"/>
        <v>2020-06-01|Тольятти</v>
      </c>
      <c r="B406" s="7">
        <v>43983.0</v>
      </c>
      <c r="C406" s="8" t="s">
        <v>13</v>
      </c>
      <c r="D406" s="8">
        <v>11416.5</v>
      </c>
      <c r="E406" s="8">
        <v>1007742.0</v>
      </c>
      <c r="F406" s="9">
        <f>VLOOKUP(A406,'Лист2'!$A$1:$F$505,4,FALSE)</f>
        <v>10</v>
      </c>
      <c r="G406" s="9">
        <f>VLOOKUP(A406,'Лист2'!$A$1:$F$505,5,FALSE)</f>
        <v>719</v>
      </c>
      <c r="H406" s="9">
        <f>VLOOKUP(A406,'Лист2'!$A$1:$F$505,6,FALSE)</f>
        <v>627</v>
      </c>
      <c r="I406" s="10">
        <f t="shared" si="2"/>
        <v>100774.2</v>
      </c>
      <c r="J406" s="10">
        <f t="shared" si="3"/>
        <v>23</v>
      </c>
    </row>
    <row r="407" ht="14.25" customHeight="1">
      <c r="A407" s="6" t="str">
        <f t="shared" si="1"/>
        <v>2020-05-11|Тольятти</v>
      </c>
      <c r="B407" s="11">
        <v>43962.0</v>
      </c>
      <c r="C407" s="12" t="s">
        <v>13</v>
      </c>
      <c r="D407" s="12">
        <v>9007.5</v>
      </c>
      <c r="E407" s="12">
        <v>734335.5</v>
      </c>
      <c r="F407" s="9">
        <f>VLOOKUP(A407,'Лист2'!$A$1:$F$505,4,FALSE)</f>
        <v>10</v>
      </c>
      <c r="G407" s="9">
        <f>VLOOKUP(A407,'Лист2'!$A$1:$F$505,5,FALSE)</f>
        <v>494</v>
      </c>
      <c r="H407" s="9">
        <f>VLOOKUP(A407,'Лист2'!$A$1:$F$505,6,FALSE)</f>
        <v>421</v>
      </c>
      <c r="I407" s="10">
        <f t="shared" si="2"/>
        <v>73433.55</v>
      </c>
      <c r="J407" s="10">
        <f t="shared" si="3"/>
        <v>20</v>
      </c>
    </row>
    <row r="408" ht="14.25" customHeight="1">
      <c r="A408" s="6" t="str">
        <f t="shared" si="1"/>
        <v>2020-05-29|Екатеринбург</v>
      </c>
      <c r="B408" s="7">
        <v>43980.0</v>
      </c>
      <c r="C408" s="8" t="s">
        <v>12</v>
      </c>
      <c r="D408" s="8">
        <v>87552.0</v>
      </c>
      <c r="E408" s="8">
        <v>7387116.0</v>
      </c>
      <c r="F408" s="9">
        <f>VLOOKUP(A408,'Лист2'!$A$1:$F$505,4,FALSE)</f>
        <v>31</v>
      </c>
      <c r="G408" s="9">
        <f>VLOOKUP(A408,'Лист2'!$A$1:$F$505,5,FALSE)</f>
        <v>5751</v>
      </c>
      <c r="H408" s="9">
        <f>VLOOKUP(A408,'Лист2'!$A$1:$F$505,6,FALSE)</f>
        <v>5319</v>
      </c>
      <c r="I408" s="10">
        <f t="shared" si="2"/>
        <v>238294.0645</v>
      </c>
      <c r="J408" s="10">
        <f t="shared" si="3"/>
        <v>22</v>
      </c>
    </row>
    <row r="409" ht="14.25" customHeight="1">
      <c r="A409" s="6" t="str">
        <f t="shared" si="1"/>
        <v>2020-05-18|Тольятти</v>
      </c>
      <c r="B409" s="11">
        <v>43969.0</v>
      </c>
      <c r="C409" s="12" t="s">
        <v>13</v>
      </c>
      <c r="D409" s="12">
        <v>11680.5</v>
      </c>
      <c r="E409" s="12">
        <v>936427.5</v>
      </c>
      <c r="F409" s="9">
        <f>VLOOKUP(A409,'Лист2'!$A$1:$F$505,4,FALSE)</f>
        <v>10</v>
      </c>
      <c r="G409" s="9">
        <f>VLOOKUP(A409,'Лист2'!$A$1:$F$505,5,FALSE)</f>
        <v>645</v>
      </c>
      <c r="H409" s="9">
        <f>VLOOKUP(A409,'Лист2'!$A$1:$F$505,6,FALSE)</f>
        <v>565</v>
      </c>
      <c r="I409" s="10">
        <f t="shared" si="2"/>
        <v>93642.75</v>
      </c>
      <c r="J409" s="10">
        <f t="shared" si="3"/>
        <v>21</v>
      </c>
    </row>
    <row r="410" ht="14.25" customHeight="1">
      <c r="A410" s="6" t="str">
        <f t="shared" si="1"/>
        <v>2020-05-14|Тольятти</v>
      </c>
      <c r="B410" s="7">
        <v>43965.0</v>
      </c>
      <c r="C410" s="8" t="s">
        <v>13</v>
      </c>
      <c r="D410" s="8">
        <v>12037.5</v>
      </c>
      <c r="E410" s="8">
        <v>981564.0</v>
      </c>
      <c r="F410" s="9">
        <f>VLOOKUP(A410,'Лист2'!$A$1:$F$505,4,FALSE)</f>
        <v>10</v>
      </c>
      <c r="G410" s="9">
        <f>VLOOKUP(A410,'Лист2'!$A$1:$F$505,5,FALSE)</f>
        <v>627</v>
      </c>
      <c r="H410" s="9">
        <f>VLOOKUP(A410,'Лист2'!$A$1:$F$505,6,FALSE)</f>
        <v>545</v>
      </c>
      <c r="I410" s="10">
        <f t="shared" si="2"/>
        <v>98156.4</v>
      </c>
      <c r="J410" s="10">
        <f t="shared" si="3"/>
        <v>20</v>
      </c>
    </row>
    <row r="411" ht="14.25" customHeight="1">
      <c r="A411" s="6" t="str">
        <f t="shared" si="1"/>
        <v>2020-05-15|Тольятти</v>
      </c>
      <c r="B411" s="11">
        <v>43966.0</v>
      </c>
      <c r="C411" s="12" t="s">
        <v>13</v>
      </c>
      <c r="D411" s="12">
        <v>14421.0</v>
      </c>
      <c r="E411" s="12">
        <v>1150579.5</v>
      </c>
      <c r="F411" s="9">
        <f>VLOOKUP(A411,'Лист2'!$A$1:$F$505,4,FALSE)</f>
        <v>10</v>
      </c>
      <c r="G411" s="9">
        <f>VLOOKUP(A411,'Лист2'!$A$1:$F$505,5,FALSE)</f>
        <v>743</v>
      </c>
      <c r="H411" s="9">
        <f>VLOOKUP(A411,'Лист2'!$A$1:$F$505,6,FALSE)</f>
        <v>652</v>
      </c>
      <c r="I411" s="10">
        <f t="shared" si="2"/>
        <v>115057.95</v>
      </c>
      <c r="J411" s="10">
        <f t="shared" si="3"/>
        <v>20</v>
      </c>
    </row>
    <row r="412" ht="14.25" customHeight="1">
      <c r="A412" s="6" t="str">
        <f t="shared" si="1"/>
        <v>2020-05-29|Тольятти</v>
      </c>
      <c r="B412" s="7">
        <v>43980.0</v>
      </c>
      <c r="C412" s="8" t="s">
        <v>13</v>
      </c>
      <c r="D412" s="8">
        <v>14823.0</v>
      </c>
      <c r="E412" s="8">
        <v>1273464.0</v>
      </c>
      <c r="F412" s="9">
        <f>VLOOKUP(A412,'Лист2'!$A$1:$F$505,4,FALSE)</f>
        <v>10</v>
      </c>
      <c r="G412" s="9">
        <f>VLOOKUP(A412,'Лист2'!$A$1:$F$505,5,FALSE)</f>
        <v>873</v>
      </c>
      <c r="H412" s="9">
        <f>VLOOKUP(A412,'Лист2'!$A$1:$F$505,6,FALSE)</f>
        <v>770</v>
      </c>
      <c r="I412" s="10">
        <f t="shared" si="2"/>
        <v>127346.4</v>
      </c>
      <c r="J412" s="10">
        <f t="shared" si="3"/>
        <v>22</v>
      </c>
    </row>
    <row r="413" ht="14.25" customHeight="1">
      <c r="A413" s="6" t="str">
        <f t="shared" si="1"/>
        <v>2020-05-27|Нижний Новгород</v>
      </c>
      <c r="B413" s="11">
        <v>43978.0</v>
      </c>
      <c r="C413" s="12" t="s">
        <v>14</v>
      </c>
      <c r="D413" s="12">
        <v>31257.0</v>
      </c>
      <c r="E413" s="12">
        <v>2924133.0</v>
      </c>
      <c r="F413" s="9">
        <f>VLOOKUP(A413,'Лист2'!$A$1:$F$505,4,FALSE)</f>
        <v>20</v>
      </c>
      <c r="G413" s="9">
        <f>VLOOKUP(A413,'Лист2'!$A$1:$F$505,5,FALSE)</f>
        <v>2079</v>
      </c>
      <c r="H413" s="9">
        <f>VLOOKUP(A413,'Лист2'!$A$1:$F$505,6,FALSE)</f>
        <v>1856</v>
      </c>
      <c r="I413" s="10">
        <f t="shared" si="2"/>
        <v>146206.65</v>
      </c>
      <c r="J413" s="10">
        <f t="shared" si="3"/>
        <v>22</v>
      </c>
    </row>
    <row r="414" ht="14.25" customHeight="1">
      <c r="A414" s="6" t="str">
        <f t="shared" si="1"/>
        <v>2020-05-22|Нижний Новгород</v>
      </c>
      <c r="B414" s="7">
        <v>43973.0</v>
      </c>
      <c r="C414" s="8" t="s">
        <v>14</v>
      </c>
      <c r="D414" s="8">
        <v>38074.5</v>
      </c>
      <c r="E414" s="8">
        <v>3414180.0</v>
      </c>
      <c r="F414" s="9">
        <f>VLOOKUP(A414,'Лист2'!$A$1:$F$505,4,FALSE)</f>
        <v>20</v>
      </c>
      <c r="G414" s="9">
        <f>VLOOKUP(A414,'Лист2'!$A$1:$F$505,5,FALSE)</f>
        <v>2306</v>
      </c>
      <c r="H414" s="9">
        <f>VLOOKUP(A414,'Лист2'!$A$1:$F$505,6,FALSE)</f>
        <v>2054</v>
      </c>
      <c r="I414" s="10">
        <f t="shared" si="2"/>
        <v>170709</v>
      </c>
      <c r="J414" s="10">
        <f t="shared" si="3"/>
        <v>21</v>
      </c>
    </row>
    <row r="415" ht="14.25" customHeight="1">
      <c r="A415" s="6" t="str">
        <f t="shared" si="1"/>
        <v>2020-06-01|Нижний Новгород</v>
      </c>
      <c r="B415" s="11">
        <v>43983.0</v>
      </c>
      <c r="C415" s="12" t="s">
        <v>14</v>
      </c>
      <c r="D415" s="12">
        <v>32170.5</v>
      </c>
      <c r="E415" s="12">
        <v>3013512.0</v>
      </c>
      <c r="F415" s="9">
        <f>VLOOKUP(A415,'Лист2'!$A$1:$F$505,4,FALSE)</f>
        <v>20</v>
      </c>
      <c r="G415" s="9">
        <f>VLOOKUP(A415,'Лист2'!$A$1:$F$505,5,FALSE)</f>
        <v>2136</v>
      </c>
      <c r="H415" s="9">
        <f>VLOOKUP(A415,'Лист2'!$A$1:$F$505,6,FALSE)</f>
        <v>1899</v>
      </c>
      <c r="I415" s="10">
        <f t="shared" si="2"/>
        <v>150675.6</v>
      </c>
      <c r="J415" s="10">
        <f t="shared" si="3"/>
        <v>23</v>
      </c>
    </row>
    <row r="416" ht="14.25" customHeight="1">
      <c r="A416" s="6" t="str">
        <f t="shared" si="1"/>
        <v>2020-05-11|Нижний Новгород</v>
      </c>
      <c r="B416" s="7">
        <v>43962.0</v>
      </c>
      <c r="C416" s="8" t="s">
        <v>14</v>
      </c>
      <c r="D416" s="8">
        <v>42397.5</v>
      </c>
      <c r="E416" s="8">
        <v>3911979.0</v>
      </c>
      <c r="F416" s="9">
        <f>VLOOKUP(A416,'Лист2'!$A$1:$F$505,4,FALSE)</f>
        <v>19</v>
      </c>
      <c r="G416" s="9">
        <f>VLOOKUP(A416,'Лист2'!$A$1:$F$505,5,FALSE)</f>
        <v>2530</v>
      </c>
      <c r="H416" s="9">
        <f>VLOOKUP(A416,'Лист2'!$A$1:$F$505,6,FALSE)</f>
        <v>2270</v>
      </c>
      <c r="I416" s="10">
        <f t="shared" si="2"/>
        <v>205893.6316</v>
      </c>
      <c r="J416" s="10">
        <f t="shared" si="3"/>
        <v>20</v>
      </c>
    </row>
    <row r="417" ht="14.25" customHeight="1">
      <c r="A417" s="6" t="str">
        <f t="shared" si="1"/>
        <v>2020-05-18|Нижний Новгород</v>
      </c>
      <c r="B417" s="11">
        <v>43969.0</v>
      </c>
      <c r="C417" s="12" t="s">
        <v>14</v>
      </c>
      <c r="D417" s="12">
        <v>28668.0</v>
      </c>
      <c r="E417" s="12">
        <v>2588148.0</v>
      </c>
      <c r="F417" s="9">
        <f>VLOOKUP(A417,'Лист2'!$A$1:$F$505,4,FALSE)</f>
        <v>19</v>
      </c>
      <c r="G417" s="9">
        <f>VLOOKUP(A417,'Лист2'!$A$1:$F$505,5,FALSE)</f>
        <v>1858</v>
      </c>
      <c r="H417" s="9">
        <f>VLOOKUP(A417,'Лист2'!$A$1:$F$505,6,FALSE)</f>
        <v>1648</v>
      </c>
      <c r="I417" s="10">
        <f t="shared" si="2"/>
        <v>136218.3158</v>
      </c>
      <c r="J417" s="10">
        <f t="shared" si="3"/>
        <v>21</v>
      </c>
    </row>
    <row r="418" ht="14.25" customHeight="1">
      <c r="A418" s="6" t="str">
        <f t="shared" si="1"/>
        <v>2020-05-14|Нижний Новгород</v>
      </c>
      <c r="B418" s="7">
        <v>43965.0</v>
      </c>
      <c r="C418" s="8" t="s">
        <v>14</v>
      </c>
      <c r="D418" s="8">
        <v>27411.0</v>
      </c>
      <c r="E418" s="8">
        <v>2441520.0</v>
      </c>
      <c r="F418" s="9">
        <f>VLOOKUP(A418,'Лист2'!$A$1:$F$505,4,FALSE)</f>
        <v>19</v>
      </c>
      <c r="G418" s="9">
        <f>VLOOKUP(A418,'Лист2'!$A$1:$F$505,5,FALSE)</f>
        <v>1675</v>
      </c>
      <c r="H418" s="9">
        <f>VLOOKUP(A418,'Лист2'!$A$1:$F$505,6,FALSE)</f>
        <v>1475</v>
      </c>
      <c r="I418" s="10">
        <f t="shared" si="2"/>
        <v>128501.0526</v>
      </c>
      <c r="J418" s="10">
        <f t="shared" si="3"/>
        <v>20</v>
      </c>
    </row>
    <row r="419" ht="14.25" customHeight="1">
      <c r="A419" s="6" t="str">
        <f t="shared" si="1"/>
        <v>2020-05-15|Нижний Новгород</v>
      </c>
      <c r="B419" s="11">
        <v>43966.0</v>
      </c>
      <c r="C419" s="12" t="s">
        <v>14</v>
      </c>
      <c r="D419" s="12">
        <v>32854.5</v>
      </c>
      <c r="E419" s="12">
        <v>2949078.0</v>
      </c>
      <c r="F419" s="9">
        <f>VLOOKUP(A419,'Лист2'!$A$1:$F$505,4,FALSE)</f>
        <v>19</v>
      </c>
      <c r="G419" s="9">
        <f>VLOOKUP(A419,'Лист2'!$A$1:$F$505,5,FALSE)</f>
        <v>1940</v>
      </c>
      <c r="H419" s="9">
        <f>VLOOKUP(A419,'Лист2'!$A$1:$F$505,6,FALSE)</f>
        <v>1715</v>
      </c>
      <c r="I419" s="10">
        <f t="shared" si="2"/>
        <v>155214.6316</v>
      </c>
      <c r="J419" s="10">
        <f t="shared" si="3"/>
        <v>20</v>
      </c>
    </row>
    <row r="420" ht="14.25" customHeight="1">
      <c r="A420" s="6" t="str">
        <f t="shared" si="1"/>
        <v>2020-05-29|Нижний Новгород</v>
      </c>
      <c r="B420" s="7">
        <v>43980.0</v>
      </c>
      <c r="C420" s="8" t="s">
        <v>14</v>
      </c>
      <c r="D420" s="8">
        <v>35346.0</v>
      </c>
      <c r="E420" s="8">
        <v>3258054.0</v>
      </c>
      <c r="F420" s="9">
        <f>VLOOKUP(A420,'Лист2'!$A$1:$F$505,4,FALSE)</f>
        <v>20</v>
      </c>
      <c r="G420" s="9">
        <f>VLOOKUP(A420,'Лист2'!$A$1:$F$505,5,FALSE)</f>
        <v>2249</v>
      </c>
      <c r="H420" s="9">
        <f>VLOOKUP(A420,'Лист2'!$A$1:$F$505,6,FALSE)</f>
        <v>2000</v>
      </c>
      <c r="I420" s="10">
        <f t="shared" si="2"/>
        <v>162902.7</v>
      </c>
      <c r="J420" s="10">
        <f t="shared" si="3"/>
        <v>22</v>
      </c>
    </row>
    <row r="421" ht="14.25" customHeight="1">
      <c r="A421" s="6" t="str">
        <f t="shared" si="1"/>
        <v>2020-05-27|Санкт-Петербург Юг</v>
      </c>
      <c r="B421" s="11">
        <v>43978.0</v>
      </c>
      <c r="C421" s="12" t="s">
        <v>15</v>
      </c>
      <c r="D421" s="12">
        <v>286558.5</v>
      </c>
      <c r="E421" s="12">
        <v>2.9256993E7</v>
      </c>
      <c r="F421" s="9">
        <f>VLOOKUP(A421,'Лист2'!$A$1:$F$505,4,FALSE)</f>
        <v>129</v>
      </c>
      <c r="G421" s="9">
        <f>VLOOKUP(A421,'Лист2'!$A$1:$F$505,5,FALSE)</f>
        <v>17115</v>
      </c>
      <c r="H421" s="9">
        <f>VLOOKUP(A421,'Лист2'!$A$1:$F$505,6,FALSE)</f>
        <v>15962</v>
      </c>
      <c r="I421" s="10">
        <f t="shared" si="2"/>
        <v>226798.3953</v>
      </c>
      <c r="J421" s="10">
        <f t="shared" si="3"/>
        <v>22</v>
      </c>
    </row>
    <row r="422" ht="14.25" customHeight="1">
      <c r="A422" s="6" t="str">
        <f t="shared" si="1"/>
        <v>2020-05-22|Санкт-Петербург Юг</v>
      </c>
      <c r="B422" s="7">
        <v>43973.0</v>
      </c>
      <c r="C422" s="8" t="s">
        <v>15</v>
      </c>
      <c r="D422" s="8">
        <v>304092.0</v>
      </c>
      <c r="E422" s="8">
        <v>2.9465769E7</v>
      </c>
      <c r="F422" s="9">
        <f>VLOOKUP(A422,'Лист2'!$A$1:$F$505,4,FALSE)</f>
        <v>129</v>
      </c>
      <c r="G422" s="9">
        <f>VLOOKUP(A422,'Лист2'!$A$1:$F$505,5,FALSE)</f>
        <v>17088</v>
      </c>
      <c r="H422" s="9">
        <f>VLOOKUP(A422,'Лист2'!$A$1:$F$505,6,FALSE)</f>
        <v>15804</v>
      </c>
      <c r="I422" s="10">
        <f t="shared" si="2"/>
        <v>228416.814</v>
      </c>
      <c r="J422" s="10">
        <f t="shared" si="3"/>
        <v>21</v>
      </c>
    </row>
    <row r="423" ht="14.25" customHeight="1">
      <c r="A423" s="6" t="str">
        <f t="shared" si="1"/>
        <v>2020-06-01|Санкт-Петербург Юг</v>
      </c>
      <c r="B423" s="11">
        <v>43983.0</v>
      </c>
      <c r="C423" s="12" t="s">
        <v>15</v>
      </c>
      <c r="D423" s="12">
        <v>272926.5</v>
      </c>
      <c r="E423" s="12">
        <v>2.77700925E7</v>
      </c>
      <c r="F423" s="9">
        <f>VLOOKUP(A423,'Лист2'!$A$1:$F$505,4,FALSE)</f>
        <v>128</v>
      </c>
      <c r="G423" s="9">
        <f>VLOOKUP(A423,'Лист2'!$A$1:$F$505,5,FALSE)</f>
        <v>16285</v>
      </c>
      <c r="H423" s="9">
        <f>VLOOKUP(A423,'Лист2'!$A$1:$F$505,6,FALSE)</f>
        <v>15130</v>
      </c>
      <c r="I423" s="10">
        <f t="shared" si="2"/>
        <v>216953.8477</v>
      </c>
      <c r="J423" s="10">
        <f t="shared" si="3"/>
        <v>23</v>
      </c>
    </row>
    <row r="424" ht="14.25" customHeight="1">
      <c r="A424" s="6" t="str">
        <f t="shared" si="1"/>
        <v>2020-05-11|Санкт-Петербург Юг</v>
      </c>
      <c r="B424" s="7">
        <v>43962.0</v>
      </c>
      <c r="C424" s="8" t="s">
        <v>15</v>
      </c>
      <c r="D424" s="8">
        <v>237099.0</v>
      </c>
      <c r="E424" s="8">
        <v>2.462823322395E7</v>
      </c>
      <c r="F424" s="9">
        <f>VLOOKUP(A424,'Лист2'!$A$1:$F$505,4,FALSE)</f>
        <v>129</v>
      </c>
      <c r="G424" s="9">
        <f>VLOOKUP(A424,'Лист2'!$A$1:$F$505,5,FALSE)</f>
        <v>14043</v>
      </c>
      <c r="H424" s="9">
        <f>VLOOKUP(A424,'Лист2'!$A$1:$F$505,6,FALSE)</f>
        <v>13167</v>
      </c>
      <c r="I424" s="10">
        <f t="shared" si="2"/>
        <v>190916.5366</v>
      </c>
      <c r="J424" s="10">
        <f t="shared" si="3"/>
        <v>20</v>
      </c>
    </row>
    <row r="425" ht="14.25" customHeight="1">
      <c r="A425" s="6" t="str">
        <f t="shared" si="1"/>
        <v>2020-05-18|Санкт-Петербург Юг</v>
      </c>
      <c r="B425" s="11">
        <v>43969.0</v>
      </c>
      <c r="C425" s="12" t="s">
        <v>15</v>
      </c>
      <c r="D425" s="12">
        <v>273900.0</v>
      </c>
      <c r="E425" s="12">
        <v>2.7535284147600003E7</v>
      </c>
      <c r="F425" s="9">
        <f>VLOOKUP(A425,'Лист2'!$A$1:$F$505,4,FALSE)</f>
        <v>129</v>
      </c>
      <c r="G425" s="9">
        <f>VLOOKUP(A425,'Лист2'!$A$1:$F$505,5,FALSE)</f>
        <v>16110</v>
      </c>
      <c r="H425" s="9">
        <f>VLOOKUP(A425,'Лист2'!$A$1:$F$505,6,FALSE)</f>
        <v>14992</v>
      </c>
      <c r="I425" s="10">
        <f t="shared" si="2"/>
        <v>213451.8151</v>
      </c>
      <c r="J425" s="10">
        <f t="shared" si="3"/>
        <v>21</v>
      </c>
    </row>
    <row r="426" ht="14.25" customHeight="1">
      <c r="A426" s="6" t="str">
        <f t="shared" si="1"/>
        <v>2020-05-14|Санкт-Петербург Юг</v>
      </c>
      <c r="B426" s="7">
        <v>43965.0</v>
      </c>
      <c r="C426" s="8" t="s">
        <v>15</v>
      </c>
      <c r="D426" s="8">
        <v>274059.0</v>
      </c>
      <c r="E426" s="8">
        <v>2.8181292E7</v>
      </c>
      <c r="F426" s="9">
        <f>VLOOKUP(A426,'Лист2'!$A$1:$F$505,4,FALSE)</f>
        <v>129</v>
      </c>
      <c r="G426" s="9">
        <f>VLOOKUP(A426,'Лист2'!$A$1:$F$505,5,FALSE)</f>
        <v>15804</v>
      </c>
      <c r="H426" s="9">
        <f>VLOOKUP(A426,'Лист2'!$A$1:$F$505,6,FALSE)</f>
        <v>14738</v>
      </c>
      <c r="I426" s="10">
        <f t="shared" si="2"/>
        <v>218459.6279</v>
      </c>
      <c r="J426" s="10">
        <f t="shared" si="3"/>
        <v>20</v>
      </c>
    </row>
    <row r="427" ht="14.25" customHeight="1">
      <c r="A427" s="6" t="str">
        <f t="shared" si="1"/>
        <v>2020-05-15|Санкт-Петербург Юг</v>
      </c>
      <c r="B427" s="11">
        <v>43966.0</v>
      </c>
      <c r="C427" s="12" t="s">
        <v>15</v>
      </c>
      <c r="D427" s="12">
        <v>318816.0</v>
      </c>
      <c r="E427" s="12">
        <v>3.2354331E7</v>
      </c>
      <c r="F427" s="9">
        <f>VLOOKUP(A427,'Лист2'!$A$1:$F$505,4,FALSE)</f>
        <v>129</v>
      </c>
      <c r="G427" s="9">
        <f>VLOOKUP(A427,'Лист2'!$A$1:$F$505,5,FALSE)</f>
        <v>17808</v>
      </c>
      <c r="H427" s="9">
        <f>VLOOKUP(A427,'Лист2'!$A$1:$F$505,6,FALSE)</f>
        <v>16486</v>
      </c>
      <c r="I427" s="10">
        <f t="shared" si="2"/>
        <v>250808.7674</v>
      </c>
      <c r="J427" s="10">
        <f t="shared" si="3"/>
        <v>20</v>
      </c>
    </row>
    <row r="428" ht="14.25" customHeight="1">
      <c r="A428" s="6" t="str">
        <f t="shared" si="1"/>
        <v>2020-05-27|Санкт-Петербург Север</v>
      </c>
      <c r="B428" s="7">
        <v>43978.0</v>
      </c>
      <c r="C428" s="8" t="s">
        <v>16</v>
      </c>
      <c r="D428" s="8">
        <v>370012.5</v>
      </c>
      <c r="E428" s="8">
        <v>3.90348615E7</v>
      </c>
      <c r="F428" s="9">
        <f>VLOOKUP(A428,'Лист2'!$A$1:$F$505,4,FALSE)</f>
        <v>124</v>
      </c>
      <c r="G428" s="9">
        <f>VLOOKUP(A428,'Лист2'!$A$1:$F$505,5,FALSE)</f>
        <v>21384</v>
      </c>
      <c r="H428" s="9">
        <f>VLOOKUP(A428,'Лист2'!$A$1:$F$505,6,FALSE)</f>
        <v>19897</v>
      </c>
      <c r="I428" s="10">
        <f t="shared" si="2"/>
        <v>314797.2702</v>
      </c>
      <c r="J428" s="10">
        <f t="shared" si="3"/>
        <v>22</v>
      </c>
    </row>
    <row r="429" ht="14.25" customHeight="1">
      <c r="A429" s="6" t="str">
        <f t="shared" si="1"/>
        <v>2020-05-22|Санкт-Петербург Север</v>
      </c>
      <c r="B429" s="11">
        <v>43973.0</v>
      </c>
      <c r="C429" s="12" t="s">
        <v>16</v>
      </c>
      <c r="D429" s="12">
        <v>393018.0</v>
      </c>
      <c r="E429" s="12">
        <v>3.94983735E7</v>
      </c>
      <c r="F429" s="9">
        <f>VLOOKUP(A429,'Лист2'!$A$1:$F$505,4,FALSE)</f>
        <v>125</v>
      </c>
      <c r="G429" s="9">
        <f>VLOOKUP(A429,'Лист2'!$A$1:$F$505,5,FALSE)</f>
        <v>21427</v>
      </c>
      <c r="H429" s="9">
        <f>VLOOKUP(A429,'Лист2'!$A$1:$F$505,6,FALSE)</f>
        <v>19799</v>
      </c>
      <c r="I429" s="10">
        <f t="shared" si="2"/>
        <v>315986.988</v>
      </c>
      <c r="J429" s="10">
        <f t="shared" si="3"/>
        <v>21</v>
      </c>
    </row>
    <row r="430" ht="14.25" customHeight="1">
      <c r="A430" s="6" t="str">
        <f t="shared" si="1"/>
        <v>2020-06-01|Санкт-Петербург Север</v>
      </c>
      <c r="B430" s="7">
        <v>43983.0</v>
      </c>
      <c r="C430" s="8" t="s">
        <v>16</v>
      </c>
      <c r="D430" s="8">
        <v>349699.5</v>
      </c>
      <c r="E430" s="8">
        <v>3.725784018135E7</v>
      </c>
      <c r="F430" s="9">
        <f>VLOOKUP(A430,'Лист2'!$A$1:$F$505,4,FALSE)</f>
        <v>123</v>
      </c>
      <c r="G430" s="9">
        <f>VLOOKUP(A430,'Лист2'!$A$1:$F$505,5,FALSE)</f>
        <v>20325</v>
      </c>
      <c r="H430" s="9">
        <f>VLOOKUP(A430,'Лист2'!$A$1:$F$505,6,FALSE)</f>
        <v>18935</v>
      </c>
      <c r="I430" s="10">
        <f t="shared" si="2"/>
        <v>302909.2698</v>
      </c>
      <c r="J430" s="10">
        <f t="shared" si="3"/>
        <v>23</v>
      </c>
    </row>
    <row r="431" ht="14.25" customHeight="1">
      <c r="A431" s="6" t="str">
        <f t="shared" si="1"/>
        <v>2020-05-11|Санкт-Петербург Север</v>
      </c>
      <c r="B431" s="11">
        <v>43962.0</v>
      </c>
      <c r="C431" s="12" t="s">
        <v>16</v>
      </c>
      <c r="D431" s="12">
        <v>318565.5</v>
      </c>
      <c r="E431" s="12">
        <v>3.3781581E7</v>
      </c>
      <c r="F431" s="9">
        <f>VLOOKUP(A431,'Лист2'!$A$1:$F$505,4,FALSE)</f>
        <v>125</v>
      </c>
      <c r="G431" s="9">
        <f>VLOOKUP(A431,'Лист2'!$A$1:$F$505,5,FALSE)</f>
        <v>18066</v>
      </c>
      <c r="H431" s="9">
        <f>VLOOKUP(A431,'Лист2'!$A$1:$F$505,6,FALSE)</f>
        <v>16883</v>
      </c>
      <c r="I431" s="10">
        <f t="shared" si="2"/>
        <v>270252.648</v>
      </c>
      <c r="J431" s="10">
        <f t="shared" si="3"/>
        <v>20</v>
      </c>
    </row>
    <row r="432" ht="14.25" customHeight="1">
      <c r="A432" s="6" t="str">
        <f t="shared" si="1"/>
        <v>2020-05-29|Санкт-Петербург Юг</v>
      </c>
      <c r="B432" s="7">
        <v>43980.0</v>
      </c>
      <c r="C432" s="8" t="s">
        <v>15</v>
      </c>
      <c r="D432" s="8">
        <v>422965.5</v>
      </c>
      <c r="E432" s="8">
        <v>4.1767140105000004E7</v>
      </c>
      <c r="F432" s="9">
        <f>VLOOKUP(A432,'Лист2'!$A$1:$F$505,4,FALSE)</f>
        <v>129</v>
      </c>
      <c r="G432" s="9">
        <f>VLOOKUP(A432,'Лист2'!$A$1:$F$505,5,FALSE)</f>
        <v>22403</v>
      </c>
      <c r="H432" s="9">
        <f>VLOOKUP(A432,'Лист2'!$A$1:$F$505,6,FALSE)</f>
        <v>20676</v>
      </c>
      <c r="I432" s="10">
        <f t="shared" si="2"/>
        <v>323776.2799</v>
      </c>
      <c r="J432" s="10">
        <f t="shared" si="3"/>
        <v>22</v>
      </c>
    </row>
    <row r="433" ht="14.25" customHeight="1">
      <c r="A433" s="6" t="str">
        <f t="shared" si="1"/>
        <v>2020-05-18|Санкт-Петербург Север</v>
      </c>
      <c r="B433" s="11">
        <v>43969.0</v>
      </c>
      <c r="C433" s="12" t="s">
        <v>16</v>
      </c>
      <c r="D433" s="12">
        <v>355081.5</v>
      </c>
      <c r="E433" s="12">
        <v>3.6876888E7</v>
      </c>
      <c r="F433" s="9">
        <f>VLOOKUP(A433,'Лист2'!$A$1:$F$505,4,FALSE)</f>
        <v>125</v>
      </c>
      <c r="G433" s="9">
        <f>VLOOKUP(A433,'Лист2'!$A$1:$F$505,5,FALSE)</f>
        <v>20449</v>
      </c>
      <c r="H433" s="9">
        <f>VLOOKUP(A433,'Лист2'!$A$1:$F$505,6,FALSE)</f>
        <v>19060</v>
      </c>
      <c r="I433" s="10">
        <f t="shared" si="2"/>
        <v>295015.104</v>
      </c>
      <c r="J433" s="10">
        <f t="shared" si="3"/>
        <v>21</v>
      </c>
    </row>
    <row r="434" ht="14.25" customHeight="1">
      <c r="A434" s="6" t="str">
        <f t="shared" si="1"/>
        <v>2020-05-14|Санкт-Петербург Север</v>
      </c>
      <c r="B434" s="7">
        <v>43965.0</v>
      </c>
      <c r="C434" s="8" t="s">
        <v>16</v>
      </c>
      <c r="D434" s="8">
        <v>358387.5</v>
      </c>
      <c r="E434" s="8">
        <v>3.79631505E7</v>
      </c>
      <c r="F434" s="9">
        <f>VLOOKUP(A434,'Лист2'!$A$1:$F$505,4,FALSE)</f>
        <v>125</v>
      </c>
      <c r="G434" s="9">
        <f>VLOOKUP(A434,'Лист2'!$A$1:$F$505,5,FALSE)</f>
        <v>20247</v>
      </c>
      <c r="H434" s="9">
        <f>VLOOKUP(A434,'Лист2'!$A$1:$F$505,6,FALSE)</f>
        <v>18812</v>
      </c>
      <c r="I434" s="10">
        <f t="shared" si="2"/>
        <v>303705.204</v>
      </c>
      <c r="J434" s="10">
        <f t="shared" si="3"/>
        <v>20</v>
      </c>
    </row>
    <row r="435" ht="14.25" customHeight="1">
      <c r="A435" s="6" t="str">
        <f t="shared" si="1"/>
        <v>2020-05-15|Санкт-Петербург Север</v>
      </c>
      <c r="B435" s="11">
        <v>43966.0</v>
      </c>
      <c r="C435" s="12" t="s">
        <v>16</v>
      </c>
      <c r="D435" s="12">
        <v>403261.5</v>
      </c>
      <c r="E435" s="12">
        <v>4.2271377E7</v>
      </c>
      <c r="F435" s="9">
        <f>VLOOKUP(A435,'Лист2'!$A$1:$F$505,4,FALSE)</f>
        <v>125</v>
      </c>
      <c r="G435" s="9">
        <f>VLOOKUP(A435,'Лист2'!$A$1:$F$505,5,FALSE)</f>
        <v>21862</v>
      </c>
      <c r="H435" s="9">
        <f>VLOOKUP(A435,'Лист2'!$A$1:$F$505,6,FALSE)</f>
        <v>20235</v>
      </c>
      <c r="I435" s="10">
        <f t="shared" si="2"/>
        <v>338171.016</v>
      </c>
      <c r="J435" s="10">
        <f t="shared" si="3"/>
        <v>20</v>
      </c>
    </row>
    <row r="436" ht="14.25" customHeight="1">
      <c r="A436" s="6" t="str">
        <f t="shared" si="1"/>
        <v>2020-05-27|Волгоград</v>
      </c>
      <c r="B436" s="7">
        <v>43978.0</v>
      </c>
      <c r="C436" s="8" t="s">
        <v>17</v>
      </c>
      <c r="D436" s="8">
        <v>69010.5</v>
      </c>
      <c r="E436" s="8">
        <v>5985894.0</v>
      </c>
      <c r="F436" s="9">
        <f>VLOOKUP(A436,'Лист2'!$A$1:$F$505,4,FALSE)</f>
        <v>36</v>
      </c>
      <c r="G436" s="9">
        <f>VLOOKUP(A436,'Лист2'!$A$1:$F$505,5,FALSE)</f>
        <v>4951</v>
      </c>
      <c r="H436" s="9">
        <f>VLOOKUP(A436,'Лист2'!$A$1:$F$505,6,FALSE)</f>
        <v>4584</v>
      </c>
      <c r="I436" s="10">
        <f t="shared" si="2"/>
        <v>166274.8333</v>
      </c>
      <c r="J436" s="10">
        <f t="shared" si="3"/>
        <v>22</v>
      </c>
    </row>
    <row r="437" ht="14.25" customHeight="1">
      <c r="A437" s="6" t="str">
        <f t="shared" si="1"/>
        <v>2020-05-22|Волгоград</v>
      </c>
      <c r="B437" s="11">
        <v>43973.0</v>
      </c>
      <c r="C437" s="12" t="s">
        <v>17</v>
      </c>
      <c r="D437" s="12">
        <v>75820.5</v>
      </c>
      <c r="E437" s="12">
        <v>5943489.0</v>
      </c>
      <c r="F437" s="9">
        <f>VLOOKUP(A437,'Лист2'!$A$1:$F$505,4,FALSE)</f>
        <v>36</v>
      </c>
      <c r="G437" s="9">
        <f>VLOOKUP(A437,'Лист2'!$A$1:$F$505,5,FALSE)</f>
        <v>4857</v>
      </c>
      <c r="H437" s="9">
        <f>VLOOKUP(A437,'Лист2'!$A$1:$F$505,6,FALSE)</f>
        <v>4456</v>
      </c>
      <c r="I437" s="10">
        <f t="shared" si="2"/>
        <v>165096.9167</v>
      </c>
      <c r="J437" s="10">
        <f t="shared" si="3"/>
        <v>21</v>
      </c>
    </row>
    <row r="438" ht="14.25" customHeight="1">
      <c r="A438" s="6" t="str">
        <f t="shared" si="1"/>
        <v>2020-06-01|Волгоград</v>
      </c>
      <c r="B438" s="7">
        <v>43983.0</v>
      </c>
      <c r="C438" s="8" t="s">
        <v>17</v>
      </c>
      <c r="D438" s="8">
        <v>64740.0</v>
      </c>
      <c r="E438" s="8">
        <v>5800290.0</v>
      </c>
      <c r="F438" s="9">
        <f>VLOOKUP(A438,'Лист2'!$A$1:$F$505,4,FALSE)</f>
        <v>37</v>
      </c>
      <c r="G438" s="9">
        <f>VLOOKUP(A438,'Лист2'!$A$1:$F$505,5,FALSE)</f>
        <v>4722</v>
      </c>
      <c r="H438" s="9">
        <f>VLOOKUP(A438,'Лист2'!$A$1:$F$505,6,FALSE)</f>
        <v>4352</v>
      </c>
      <c r="I438" s="10">
        <f t="shared" si="2"/>
        <v>156764.5946</v>
      </c>
      <c r="J438" s="10">
        <f t="shared" si="3"/>
        <v>23</v>
      </c>
    </row>
    <row r="439" ht="14.25" customHeight="1">
      <c r="A439" s="6" t="str">
        <f t="shared" si="1"/>
        <v>2020-05-11|Волгоград</v>
      </c>
      <c r="B439" s="11">
        <v>43962.0</v>
      </c>
      <c r="C439" s="12" t="s">
        <v>17</v>
      </c>
      <c r="D439" s="12">
        <v>59574.0</v>
      </c>
      <c r="E439" s="12">
        <v>5178169.5</v>
      </c>
      <c r="F439" s="9">
        <f>VLOOKUP(A439,'Лист2'!$A$1:$F$505,4,FALSE)</f>
        <v>36</v>
      </c>
      <c r="G439" s="9">
        <f>VLOOKUP(A439,'Лист2'!$A$1:$F$505,5,FALSE)</f>
        <v>4150</v>
      </c>
      <c r="H439" s="9">
        <f>VLOOKUP(A439,'Лист2'!$A$1:$F$505,6,FALSE)</f>
        <v>3838</v>
      </c>
      <c r="I439" s="10">
        <f t="shared" si="2"/>
        <v>143838.0417</v>
      </c>
      <c r="J439" s="10">
        <f t="shared" si="3"/>
        <v>20</v>
      </c>
    </row>
    <row r="440" ht="14.25" customHeight="1">
      <c r="A440" s="6" t="str">
        <f t="shared" si="1"/>
        <v>2020-05-29|Санкт-Петербург Север</v>
      </c>
      <c r="B440" s="7">
        <v>43980.0</v>
      </c>
      <c r="C440" s="8" t="s">
        <v>16</v>
      </c>
      <c r="D440" s="8">
        <v>524481.0</v>
      </c>
      <c r="E440" s="8">
        <v>5.4172029E7</v>
      </c>
      <c r="F440" s="9">
        <f>VLOOKUP(A440,'Лист2'!$A$1:$F$505,4,FALSE)</f>
        <v>124</v>
      </c>
      <c r="G440" s="9">
        <f>VLOOKUP(A440,'Лист2'!$A$1:$F$505,5,FALSE)</f>
        <v>25828</v>
      </c>
      <c r="H440" s="9">
        <f>VLOOKUP(A440,'Лист2'!$A$1:$F$505,6,FALSE)</f>
        <v>23974</v>
      </c>
      <c r="I440" s="10">
        <f t="shared" si="2"/>
        <v>436871.2016</v>
      </c>
      <c r="J440" s="10">
        <f t="shared" si="3"/>
        <v>22</v>
      </c>
    </row>
    <row r="441" ht="14.25" customHeight="1">
      <c r="A441" s="6" t="str">
        <f t="shared" si="1"/>
        <v>2020-05-18|Волгоград</v>
      </c>
      <c r="B441" s="11">
        <v>43969.0</v>
      </c>
      <c r="C441" s="12" t="s">
        <v>17</v>
      </c>
      <c r="D441" s="12">
        <v>70278.0</v>
      </c>
      <c r="E441" s="12">
        <v>5798476.5</v>
      </c>
      <c r="F441" s="9">
        <f>VLOOKUP(A441,'Лист2'!$A$1:$F$505,4,FALSE)</f>
        <v>36</v>
      </c>
      <c r="G441" s="9">
        <f>VLOOKUP(A441,'Лист2'!$A$1:$F$505,5,FALSE)</f>
        <v>4885</v>
      </c>
      <c r="H441" s="9">
        <f>VLOOKUP(A441,'Лист2'!$A$1:$F$505,6,FALSE)</f>
        <v>4502</v>
      </c>
      <c r="I441" s="10">
        <f t="shared" si="2"/>
        <v>161068.7917</v>
      </c>
      <c r="J441" s="10">
        <f t="shared" si="3"/>
        <v>21</v>
      </c>
    </row>
    <row r="442" ht="14.25" customHeight="1">
      <c r="A442" s="6" t="str">
        <f t="shared" si="1"/>
        <v>2020-05-14|Волгоград</v>
      </c>
      <c r="B442" s="7">
        <v>43965.0</v>
      </c>
      <c r="C442" s="8" t="s">
        <v>17</v>
      </c>
      <c r="D442" s="8">
        <v>63645.0</v>
      </c>
      <c r="E442" s="8">
        <v>5366602.5</v>
      </c>
      <c r="F442" s="9">
        <f>VLOOKUP(A442,'Лист2'!$A$1:$F$505,4,FALSE)</f>
        <v>36</v>
      </c>
      <c r="G442" s="9">
        <f>VLOOKUP(A442,'Лист2'!$A$1:$F$505,5,FALSE)</f>
        <v>4285</v>
      </c>
      <c r="H442" s="9">
        <f>VLOOKUP(A442,'Лист2'!$A$1:$F$505,6,FALSE)</f>
        <v>3950</v>
      </c>
      <c r="I442" s="10">
        <f t="shared" si="2"/>
        <v>149072.2917</v>
      </c>
      <c r="J442" s="10">
        <f t="shared" si="3"/>
        <v>20</v>
      </c>
    </row>
    <row r="443" ht="14.25" customHeight="1">
      <c r="A443" s="6" t="str">
        <f t="shared" si="1"/>
        <v>2020-05-15|Волгоград</v>
      </c>
      <c r="B443" s="11">
        <v>43966.0</v>
      </c>
      <c r="C443" s="12" t="s">
        <v>17</v>
      </c>
      <c r="D443" s="12">
        <v>75642.0</v>
      </c>
      <c r="E443" s="12">
        <v>6293952.0</v>
      </c>
      <c r="F443" s="9">
        <f>VLOOKUP(A443,'Лист2'!$A$1:$F$505,4,FALSE)</f>
        <v>36</v>
      </c>
      <c r="G443" s="9">
        <f>VLOOKUP(A443,'Лист2'!$A$1:$F$505,5,FALSE)</f>
        <v>4862</v>
      </c>
      <c r="H443" s="9">
        <f>VLOOKUP(A443,'Лист2'!$A$1:$F$505,6,FALSE)</f>
        <v>4476</v>
      </c>
      <c r="I443" s="10">
        <f t="shared" si="2"/>
        <v>174832</v>
      </c>
      <c r="J443" s="10">
        <f t="shared" si="3"/>
        <v>20</v>
      </c>
    </row>
    <row r="444" ht="14.25" customHeight="1">
      <c r="A444" s="6" t="str">
        <f t="shared" si="1"/>
        <v>2020-05-27|Казань</v>
      </c>
      <c r="B444" s="7">
        <v>43978.0</v>
      </c>
      <c r="C444" s="8" t="s">
        <v>18</v>
      </c>
      <c r="D444" s="8">
        <v>40420.5</v>
      </c>
      <c r="E444" s="8">
        <v>3780852.0</v>
      </c>
      <c r="F444" s="9">
        <f>VLOOKUP(A444,'Лист2'!$A$1:$F$505,4,FALSE)</f>
        <v>21</v>
      </c>
      <c r="G444" s="9">
        <f>VLOOKUP(A444,'Лист2'!$A$1:$F$505,5,FALSE)</f>
        <v>2430</v>
      </c>
      <c r="H444" s="9">
        <f>VLOOKUP(A444,'Лист2'!$A$1:$F$505,6,FALSE)</f>
        <v>2216</v>
      </c>
      <c r="I444" s="10">
        <f t="shared" si="2"/>
        <v>180040.5714</v>
      </c>
      <c r="J444" s="10">
        <f t="shared" si="3"/>
        <v>22</v>
      </c>
    </row>
    <row r="445" ht="14.25" customHeight="1">
      <c r="A445" s="6" t="str">
        <f t="shared" si="1"/>
        <v>2020-05-22|Казань</v>
      </c>
      <c r="B445" s="11">
        <v>43973.0</v>
      </c>
      <c r="C445" s="12" t="s">
        <v>18</v>
      </c>
      <c r="D445" s="12">
        <v>53838.0</v>
      </c>
      <c r="E445" s="12">
        <v>4840833.0</v>
      </c>
      <c r="F445" s="9">
        <f>VLOOKUP(A445,'Лист2'!$A$1:$F$505,4,FALSE)</f>
        <v>21</v>
      </c>
      <c r="G445" s="9">
        <f>VLOOKUP(A445,'Лист2'!$A$1:$F$505,5,FALSE)</f>
        <v>2861</v>
      </c>
      <c r="H445" s="9">
        <f>VLOOKUP(A445,'Лист2'!$A$1:$F$505,6,FALSE)</f>
        <v>2612</v>
      </c>
      <c r="I445" s="10">
        <f t="shared" si="2"/>
        <v>230515.8571</v>
      </c>
      <c r="J445" s="10">
        <f t="shared" si="3"/>
        <v>21</v>
      </c>
    </row>
    <row r="446" ht="14.25" customHeight="1">
      <c r="A446" s="6" t="str">
        <f t="shared" si="1"/>
        <v>2020-06-01|Казань</v>
      </c>
      <c r="B446" s="7">
        <v>43983.0</v>
      </c>
      <c r="C446" s="8" t="s">
        <v>18</v>
      </c>
      <c r="D446" s="8">
        <v>40528.5</v>
      </c>
      <c r="E446" s="8">
        <v>3865251.0</v>
      </c>
      <c r="F446" s="9">
        <f>VLOOKUP(A446,'Лист2'!$A$1:$F$505,4,FALSE)</f>
        <v>23</v>
      </c>
      <c r="G446" s="9">
        <f>VLOOKUP(A446,'Лист2'!$A$1:$F$505,5,FALSE)</f>
        <v>2531</v>
      </c>
      <c r="H446" s="9">
        <f>VLOOKUP(A446,'Лист2'!$A$1:$F$505,6,FALSE)</f>
        <v>2296</v>
      </c>
      <c r="I446" s="10">
        <f t="shared" si="2"/>
        <v>168054.3913</v>
      </c>
      <c r="J446" s="10">
        <f t="shared" si="3"/>
        <v>23</v>
      </c>
    </row>
    <row r="447" ht="14.25" customHeight="1">
      <c r="A447" s="6" t="str">
        <f t="shared" si="1"/>
        <v>2020-05-11|Казань</v>
      </c>
      <c r="B447" s="11">
        <v>43962.0</v>
      </c>
      <c r="C447" s="12" t="s">
        <v>18</v>
      </c>
      <c r="D447" s="12">
        <v>32733.0</v>
      </c>
      <c r="E447" s="12">
        <v>3079630.5</v>
      </c>
      <c r="F447" s="9">
        <f>VLOOKUP(A447,'Лист2'!$A$1:$F$505,4,FALSE)</f>
        <v>21</v>
      </c>
      <c r="G447" s="9">
        <f>VLOOKUP(A447,'Лист2'!$A$1:$F$505,5,FALSE)</f>
        <v>1916</v>
      </c>
      <c r="H447" s="9">
        <f>VLOOKUP(A447,'Лист2'!$A$1:$F$505,6,FALSE)</f>
        <v>1733</v>
      </c>
      <c r="I447" s="10">
        <f t="shared" si="2"/>
        <v>146649.0714</v>
      </c>
      <c r="J447" s="10">
        <f t="shared" si="3"/>
        <v>20</v>
      </c>
    </row>
    <row r="448" ht="14.25" customHeight="1">
      <c r="A448" s="6" t="str">
        <f t="shared" si="1"/>
        <v>2020-05-29|Волгоград</v>
      </c>
      <c r="B448" s="7">
        <v>43980.0</v>
      </c>
      <c r="C448" s="8" t="s">
        <v>17</v>
      </c>
      <c r="D448" s="8">
        <v>84433.5</v>
      </c>
      <c r="E448" s="8">
        <v>7228395.0</v>
      </c>
      <c r="F448" s="9">
        <f>VLOOKUP(A448,'Лист2'!$A$1:$F$505,4,FALSE)</f>
        <v>37</v>
      </c>
      <c r="G448" s="9">
        <f>VLOOKUP(A448,'Лист2'!$A$1:$F$505,5,FALSE)</f>
        <v>5672</v>
      </c>
      <c r="H448" s="9">
        <f>VLOOKUP(A448,'Лист2'!$A$1:$F$505,6,FALSE)</f>
        <v>5198</v>
      </c>
      <c r="I448" s="10">
        <f t="shared" si="2"/>
        <v>195362.027</v>
      </c>
      <c r="J448" s="10">
        <f t="shared" si="3"/>
        <v>22</v>
      </c>
    </row>
    <row r="449" ht="14.25" customHeight="1">
      <c r="A449" s="6" t="str">
        <f t="shared" si="1"/>
        <v>2020-05-18|Казань</v>
      </c>
      <c r="B449" s="11">
        <v>43969.0</v>
      </c>
      <c r="C449" s="12" t="s">
        <v>18</v>
      </c>
      <c r="D449" s="12">
        <v>36655.5</v>
      </c>
      <c r="E449" s="12">
        <v>3360135.0</v>
      </c>
      <c r="F449" s="9">
        <f>VLOOKUP(A449,'Лист2'!$A$1:$F$505,4,FALSE)</f>
        <v>21</v>
      </c>
      <c r="G449" s="9">
        <f>VLOOKUP(A449,'Лист2'!$A$1:$F$505,5,FALSE)</f>
        <v>2136</v>
      </c>
      <c r="H449" s="9">
        <f>VLOOKUP(A449,'Лист2'!$A$1:$F$505,6,FALSE)</f>
        <v>1947</v>
      </c>
      <c r="I449" s="10">
        <f t="shared" si="2"/>
        <v>160006.4286</v>
      </c>
      <c r="J449" s="10">
        <f t="shared" si="3"/>
        <v>21</v>
      </c>
    </row>
    <row r="450" ht="14.25" customHeight="1">
      <c r="A450" s="6" t="str">
        <f t="shared" si="1"/>
        <v>2020-05-14|Казань</v>
      </c>
      <c r="B450" s="7">
        <v>43965.0</v>
      </c>
      <c r="C450" s="8" t="s">
        <v>18</v>
      </c>
      <c r="D450" s="8">
        <v>33886.5</v>
      </c>
      <c r="E450" s="8">
        <v>3166479.0</v>
      </c>
      <c r="F450" s="9">
        <f>VLOOKUP(A450,'Лист2'!$A$1:$F$505,4,FALSE)</f>
        <v>21</v>
      </c>
      <c r="G450" s="9">
        <f>VLOOKUP(A450,'Лист2'!$A$1:$F$505,5,FALSE)</f>
        <v>1993</v>
      </c>
      <c r="H450" s="9">
        <f>VLOOKUP(A450,'Лист2'!$A$1:$F$505,6,FALSE)</f>
        <v>1796</v>
      </c>
      <c r="I450" s="10">
        <f t="shared" si="2"/>
        <v>150784.7143</v>
      </c>
      <c r="J450" s="10">
        <f t="shared" si="3"/>
        <v>20</v>
      </c>
    </row>
    <row r="451" ht="14.25" customHeight="1">
      <c r="A451" s="6" t="str">
        <f t="shared" si="1"/>
        <v>2020-05-15|Казань</v>
      </c>
      <c r="B451" s="11">
        <v>43966.0</v>
      </c>
      <c r="C451" s="12" t="s">
        <v>18</v>
      </c>
      <c r="D451" s="12">
        <v>41697.0</v>
      </c>
      <c r="E451" s="12">
        <v>3772258.5</v>
      </c>
      <c r="F451" s="9">
        <f>VLOOKUP(A451,'Лист2'!$A$1:$F$505,4,FALSE)</f>
        <v>21</v>
      </c>
      <c r="G451" s="9">
        <f>VLOOKUP(A451,'Лист2'!$A$1:$F$505,5,FALSE)</f>
        <v>2255</v>
      </c>
      <c r="H451" s="9">
        <f>VLOOKUP(A451,'Лист2'!$A$1:$F$505,6,FALSE)</f>
        <v>2045</v>
      </c>
      <c r="I451" s="10">
        <f t="shared" si="2"/>
        <v>179631.3571</v>
      </c>
      <c r="J451" s="10">
        <f t="shared" si="3"/>
        <v>20</v>
      </c>
    </row>
    <row r="452" ht="14.25" customHeight="1">
      <c r="A452" s="6" t="str">
        <f t="shared" si="1"/>
        <v>2020-05-29|Казань</v>
      </c>
      <c r="B452" s="7">
        <v>43980.0</v>
      </c>
      <c r="C452" s="8" t="s">
        <v>18</v>
      </c>
      <c r="D452" s="8">
        <v>44569.5</v>
      </c>
      <c r="E452" s="8">
        <v>4108596.0</v>
      </c>
      <c r="F452" s="9">
        <f>VLOOKUP(A452,'Лист2'!$A$1:$F$505,4,FALSE)</f>
        <v>22</v>
      </c>
      <c r="G452" s="9">
        <f>VLOOKUP(A452,'Лист2'!$A$1:$F$505,5,FALSE)</f>
        <v>2597</v>
      </c>
      <c r="H452" s="9">
        <f>VLOOKUP(A452,'Лист2'!$A$1:$F$505,6,FALSE)</f>
        <v>2379</v>
      </c>
      <c r="I452" s="10">
        <f t="shared" si="2"/>
        <v>186754.3636</v>
      </c>
      <c r="J452" s="10">
        <f t="shared" si="3"/>
        <v>22</v>
      </c>
    </row>
    <row r="453" ht="14.25" customHeight="1">
      <c r="A453" s="6" t="str">
        <f t="shared" si="1"/>
        <v>2020-05-27|Пермь</v>
      </c>
      <c r="B453" s="11">
        <v>43978.0</v>
      </c>
      <c r="C453" s="12" t="s">
        <v>19</v>
      </c>
      <c r="D453" s="12">
        <v>18069.0</v>
      </c>
      <c r="E453" s="12">
        <v>1603084.5</v>
      </c>
      <c r="F453" s="9">
        <f>VLOOKUP(A453,'Лист2'!$A$1:$F$505,4,FALSE)</f>
        <v>17</v>
      </c>
      <c r="G453" s="9">
        <f>VLOOKUP(A453,'Лист2'!$A$1:$F$505,5,FALSE)</f>
        <v>1203</v>
      </c>
      <c r="H453" s="9">
        <f>VLOOKUP(A453,'Лист2'!$A$1:$F$505,6,FALSE)</f>
        <v>1077</v>
      </c>
      <c r="I453" s="10">
        <f t="shared" si="2"/>
        <v>94299.08824</v>
      </c>
      <c r="J453" s="10">
        <f t="shared" si="3"/>
        <v>22</v>
      </c>
    </row>
    <row r="454" ht="14.25" customHeight="1">
      <c r="A454" s="6" t="str">
        <f t="shared" si="1"/>
        <v>2020-05-22|Пермь</v>
      </c>
      <c r="B454" s="7">
        <v>43973.0</v>
      </c>
      <c r="C454" s="8" t="s">
        <v>19</v>
      </c>
      <c r="D454" s="8">
        <v>21483.0</v>
      </c>
      <c r="E454" s="8">
        <v>1774329.0</v>
      </c>
      <c r="F454" s="9">
        <f>VLOOKUP(A454,'Лист2'!$A$1:$F$505,4,FALSE)</f>
        <v>17</v>
      </c>
      <c r="G454" s="9">
        <f>VLOOKUP(A454,'Лист2'!$A$1:$F$505,5,FALSE)</f>
        <v>1268</v>
      </c>
      <c r="H454" s="9">
        <f>VLOOKUP(A454,'Лист2'!$A$1:$F$505,6,FALSE)</f>
        <v>1129</v>
      </c>
      <c r="I454" s="10">
        <f t="shared" si="2"/>
        <v>104372.2941</v>
      </c>
      <c r="J454" s="10">
        <f t="shared" si="3"/>
        <v>21</v>
      </c>
    </row>
    <row r="455" ht="14.25" customHeight="1">
      <c r="A455" s="6" t="str">
        <f t="shared" si="1"/>
        <v>2020-06-01|Пермь</v>
      </c>
      <c r="B455" s="11">
        <v>43983.0</v>
      </c>
      <c r="C455" s="12" t="s">
        <v>19</v>
      </c>
      <c r="D455" s="12">
        <v>16687.5</v>
      </c>
      <c r="E455" s="12">
        <v>1526608.5</v>
      </c>
      <c r="F455" s="9">
        <f>VLOOKUP(A455,'Лист2'!$A$1:$F$505,4,FALSE)</f>
        <v>17</v>
      </c>
      <c r="G455" s="9">
        <f>VLOOKUP(A455,'Лист2'!$A$1:$F$505,5,FALSE)</f>
        <v>1185</v>
      </c>
      <c r="H455" s="9">
        <f>VLOOKUP(A455,'Лист2'!$A$1:$F$505,6,FALSE)</f>
        <v>1042</v>
      </c>
      <c r="I455" s="10">
        <f t="shared" si="2"/>
        <v>89800.5</v>
      </c>
      <c r="J455" s="10">
        <f t="shared" si="3"/>
        <v>23</v>
      </c>
    </row>
    <row r="456" ht="14.25" customHeight="1">
      <c r="A456" s="6" t="str">
        <f t="shared" si="1"/>
        <v>2020-05-11|Пермь</v>
      </c>
      <c r="B456" s="7">
        <v>43962.0</v>
      </c>
      <c r="C456" s="8" t="s">
        <v>19</v>
      </c>
      <c r="D456" s="8">
        <v>12238.5</v>
      </c>
      <c r="E456" s="8">
        <v>1096002.0</v>
      </c>
      <c r="F456" s="9">
        <f>VLOOKUP(A456,'Лист2'!$A$1:$F$505,4,FALSE)</f>
        <v>15</v>
      </c>
      <c r="G456" s="9">
        <f>VLOOKUP(A456,'Лист2'!$A$1:$F$505,5,FALSE)</f>
        <v>812</v>
      </c>
      <c r="H456" s="9">
        <f>VLOOKUP(A456,'Лист2'!$A$1:$F$505,6,FALSE)</f>
        <v>714</v>
      </c>
      <c r="I456" s="10">
        <f t="shared" si="2"/>
        <v>73066.8</v>
      </c>
      <c r="J456" s="10">
        <f t="shared" si="3"/>
        <v>20</v>
      </c>
    </row>
    <row r="457" ht="14.25" customHeight="1">
      <c r="A457" s="6" t="str">
        <f t="shared" si="1"/>
        <v>2020-05-18|Пермь</v>
      </c>
      <c r="B457" s="11">
        <v>43969.0</v>
      </c>
      <c r="C457" s="12" t="s">
        <v>19</v>
      </c>
      <c r="D457" s="12">
        <v>14290.5</v>
      </c>
      <c r="E457" s="12">
        <v>1246162.5</v>
      </c>
      <c r="F457" s="9">
        <f>VLOOKUP(A457,'Лист2'!$A$1:$F$505,4,FALSE)</f>
        <v>16</v>
      </c>
      <c r="G457" s="9">
        <f>VLOOKUP(A457,'Лист2'!$A$1:$F$505,5,FALSE)</f>
        <v>925</v>
      </c>
      <c r="H457" s="9">
        <f>VLOOKUP(A457,'Лист2'!$A$1:$F$505,6,FALSE)</f>
        <v>816</v>
      </c>
      <c r="I457" s="10">
        <f t="shared" si="2"/>
        <v>77885.15625</v>
      </c>
      <c r="J457" s="10">
        <f t="shared" si="3"/>
        <v>21</v>
      </c>
    </row>
    <row r="458" ht="14.25" customHeight="1">
      <c r="A458" s="6" t="str">
        <f t="shared" si="1"/>
        <v>2020-05-14|Пермь</v>
      </c>
      <c r="B458" s="7">
        <v>43965.0</v>
      </c>
      <c r="C458" s="8" t="s">
        <v>19</v>
      </c>
      <c r="D458" s="8">
        <v>14385.0</v>
      </c>
      <c r="E458" s="8">
        <v>1223491.5</v>
      </c>
      <c r="F458" s="9">
        <f>VLOOKUP(A458,'Лист2'!$A$1:$F$505,4,FALSE)</f>
        <v>15</v>
      </c>
      <c r="G458" s="9">
        <f>VLOOKUP(A458,'Лист2'!$A$1:$F$505,5,FALSE)</f>
        <v>890</v>
      </c>
      <c r="H458" s="9">
        <f>VLOOKUP(A458,'Лист2'!$A$1:$F$505,6,FALSE)</f>
        <v>777</v>
      </c>
      <c r="I458" s="10">
        <f t="shared" si="2"/>
        <v>81566.1</v>
      </c>
      <c r="J458" s="10">
        <f t="shared" si="3"/>
        <v>20</v>
      </c>
    </row>
    <row r="459" ht="14.25" customHeight="1">
      <c r="A459" s="6" t="str">
        <f t="shared" si="1"/>
        <v>2020-05-15|Пермь</v>
      </c>
      <c r="B459" s="11">
        <v>43966.0</v>
      </c>
      <c r="C459" s="12" t="s">
        <v>19</v>
      </c>
      <c r="D459" s="12">
        <v>16498.5</v>
      </c>
      <c r="E459" s="12">
        <v>1370482.5</v>
      </c>
      <c r="F459" s="9">
        <f>VLOOKUP(A459,'Лист2'!$A$1:$F$505,4,FALSE)</f>
        <v>15</v>
      </c>
      <c r="G459" s="9">
        <f>VLOOKUP(A459,'Лист2'!$A$1:$F$505,5,FALSE)</f>
        <v>980</v>
      </c>
      <c r="H459" s="9">
        <f>VLOOKUP(A459,'Лист2'!$A$1:$F$505,6,FALSE)</f>
        <v>867</v>
      </c>
      <c r="I459" s="10">
        <f t="shared" si="2"/>
        <v>91365.5</v>
      </c>
      <c r="J459" s="10">
        <f t="shared" si="3"/>
        <v>20</v>
      </c>
    </row>
    <row r="460" ht="14.25" customHeight="1">
      <c r="A460" s="6" t="str">
        <f t="shared" si="1"/>
        <v>2020-05-27|Ростов-на-Дону</v>
      </c>
      <c r="B460" s="7">
        <v>43978.0</v>
      </c>
      <c r="C460" s="8" t="s">
        <v>20</v>
      </c>
      <c r="D460" s="8">
        <v>13203.0</v>
      </c>
      <c r="E460" s="8">
        <v>1211457.0</v>
      </c>
      <c r="F460" s="9">
        <f>VLOOKUP(A460,'Лист2'!$A$1:$F$505,4,FALSE)</f>
        <v>15</v>
      </c>
      <c r="G460" s="9">
        <f>VLOOKUP(A460,'Лист2'!$A$1:$F$505,5,FALSE)</f>
        <v>809</v>
      </c>
      <c r="H460" s="9">
        <f>VLOOKUP(A460,'Лист2'!$A$1:$F$505,6,FALSE)</f>
        <v>702</v>
      </c>
      <c r="I460" s="10">
        <f t="shared" si="2"/>
        <v>80763.8</v>
      </c>
      <c r="J460" s="10">
        <f t="shared" si="3"/>
        <v>22</v>
      </c>
    </row>
    <row r="461" ht="14.25" customHeight="1">
      <c r="A461" s="6" t="str">
        <f t="shared" si="1"/>
        <v>2020-05-22|Ростов-на-Дону</v>
      </c>
      <c r="B461" s="11">
        <v>43973.0</v>
      </c>
      <c r="C461" s="12" t="s">
        <v>20</v>
      </c>
      <c r="D461" s="12">
        <v>15802.5</v>
      </c>
      <c r="E461" s="12">
        <v>1411909.5</v>
      </c>
      <c r="F461" s="9">
        <f>VLOOKUP(A461,'Лист2'!$A$1:$F$505,4,FALSE)</f>
        <v>15</v>
      </c>
      <c r="G461" s="9">
        <f>VLOOKUP(A461,'Лист2'!$A$1:$F$505,5,FALSE)</f>
        <v>903</v>
      </c>
      <c r="H461" s="9">
        <f>VLOOKUP(A461,'Лист2'!$A$1:$F$505,6,FALSE)</f>
        <v>792</v>
      </c>
      <c r="I461" s="10">
        <f t="shared" si="2"/>
        <v>94127.3</v>
      </c>
      <c r="J461" s="10">
        <f t="shared" si="3"/>
        <v>21</v>
      </c>
    </row>
    <row r="462" ht="14.25" customHeight="1">
      <c r="A462" s="6" t="str">
        <f t="shared" si="1"/>
        <v>2020-06-01|Ростов-на-Дону</v>
      </c>
      <c r="B462" s="7">
        <v>43983.0</v>
      </c>
      <c r="C462" s="8" t="s">
        <v>20</v>
      </c>
      <c r="D462" s="8">
        <v>16476.0</v>
      </c>
      <c r="E462" s="8">
        <v>1565632.5</v>
      </c>
      <c r="F462" s="9">
        <f>VLOOKUP(A462,'Лист2'!$A$1:$F$505,4,FALSE)</f>
        <v>16</v>
      </c>
      <c r="G462" s="9">
        <f>VLOOKUP(A462,'Лист2'!$A$1:$F$505,5,FALSE)</f>
        <v>1019</v>
      </c>
      <c r="H462" s="9">
        <f>VLOOKUP(A462,'Лист2'!$A$1:$F$505,6,FALSE)</f>
        <v>895</v>
      </c>
      <c r="I462" s="10">
        <f t="shared" si="2"/>
        <v>97852.03125</v>
      </c>
      <c r="J462" s="10">
        <f t="shared" si="3"/>
        <v>23</v>
      </c>
    </row>
    <row r="463" ht="14.25" customHeight="1">
      <c r="A463" s="6" t="str">
        <f t="shared" si="1"/>
        <v>2020-05-11|Ростов-на-Дону</v>
      </c>
      <c r="B463" s="11">
        <v>43962.0</v>
      </c>
      <c r="C463" s="12" t="s">
        <v>20</v>
      </c>
      <c r="D463" s="12">
        <v>12654.0</v>
      </c>
      <c r="E463" s="12">
        <v>1081158.0</v>
      </c>
      <c r="F463" s="9">
        <f>VLOOKUP(A463,'Лист2'!$A$1:$F$505,4,FALSE)</f>
        <v>15</v>
      </c>
      <c r="G463" s="9">
        <f>VLOOKUP(A463,'Лист2'!$A$1:$F$505,5,FALSE)</f>
        <v>684</v>
      </c>
      <c r="H463" s="9">
        <f>VLOOKUP(A463,'Лист2'!$A$1:$F$505,6,FALSE)</f>
        <v>585</v>
      </c>
      <c r="I463" s="10">
        <f t="shared" si="2"/>
        <v>72077.2</v>
      </c>
      <c r="J463" s="10">
        <f t="shared" si="3"/>
        <v>20</v>
      </c>
    </row>
    <row r="464" ht="14.25" customHeight="1">
      <c r="A464" s="6" t="str">
        <f t="shared" si="1"/>
        <v>2020-05-29|Пермь</v>
      </c>
      <c r="B464" s="7">
        <v>43980.0</v>
      </c>
      <c r="C464" s="8" t="s">
        <v>19</v>
      </c>
      <c r="D464" s="8">
        <v>19647.0</v>
      </c>
      <c r="E464" s="8">
        <v>1764669.0</v>
      </c>
      <c r="F464" s="9">
        <f>VLOOKUP(A464,'Лист2'!$A$1:$F$505,4,FALSE)</f>
        <v>17</v>
      </c>
      <c r="G464" s="9">
        <f>VLOOKUP(A464,'Лист2'!$A$1:$F$505,5,FALSE)</f>
        <v>1296</v>
      </c>
      <c r="H464" s="9">
        <f>VLOOKUP(A464,'Лист2'!$A$1:$F$505,6,FALSE)</f>
        <v>1153</v>
      </c>
      <c r="I464" s="10">
        <f t="shared" si="2"/>
        <v>103804.0588</v>
      </c>
      <c r="J464" s="10">
        <f t="shared" si="3"/>
        <v>22</v>
      </c>
    </row>
    <row r="465" ht="14.25" customHeight="1">
      <c r="A465" s="6" t="str">
        <f t="shared" si="1"/>
        <v>2020-05-18|Ростов-на-Дону</v>
      </c>
      <c r="B465" s="11">
        <v>43969.0</v>
      </c>
      <c r="C465" s="12" t="s">
        <v>20</v>
      </c>
      <c r="D465" s="12">
        <v>12450.0</v>
      </c>
      <c r="E465" s="12">
        <v>1115146.5</v>
      </c>
      <c r="F465" s="9">
        <f>VLOOKUP(A465,'Лист2'!$A$1:$F$505,4,FALSE)</f>
        <v>15</v>
      </c>
      <c r="G465" s="9">
        <f>VLOOKUP(A465,'Лист2'!$A$1:$F$505,5,FALSE)</f>
        <v>729</v>
      </c>
      <c r="H465" s="9">
        <f>VLOOKUP(A465,'Лист2'!$A$1:$F$505,6,FALSE)</f>
        <v>636</v>
      </c>
      <c r="I465" s="10">
        <f t="shared" si="2"/>
        <v>74343.1</v>
      </c>
      <c r="J465" s="10">
        <f t="shared" si="3"/>
        <v>21</v>
      </c>
    </row>
    <row r="466" ht="14.25" customHeight="1">
      <c r="A466" s="6" t="str">
        <f t="shared" si="1"/>
        <v>2020-05-14|Ростов-на-Дону</v>
      </c>
      <c r="B466" s="7">
        <v>43965.0</v>
      </c>
      <c r="C466" s="8" t="s">
        <v>20</v>
      </c>
      <c r="D466" s="8">
        <v>11161.5</v>
      </c>
      <c r="E466" s="8">
        <v>963502.5</v>
      </c>
      <c r="F466" s="9">
        <f>VLOOKUP(A466,'Лист2'!$A$1:$F$505,4,FALSE)</f>
        <v>15</v>
      </c>
      <c r="G466" s="9">
        <f>VLOOKUP(A466,'Лист2'!$A$1:$F$505,5,FALSE)</f>
        <v>638</v>
      </c>
      <c r="H466" s="9">
        <f>VLOOKUP(A466,'Лист2'!$A$1:$F$505,6,FALSE)</f>
        <v>548</v>
      </c>
      <c r="I466" s="10">
        <f t="shared" si="2"/>
        <v>64233.5</v>
      </c>
      <c r="J466" s="10">
        <f t="shared" si="3"/>
        <v>20</v>
      </c>
    </row>
    <row r="467" ht="14.25" customHeight="1">
      <c r="A467" s="6" t="str">
        <f t="shared" si="1"/>
        <v>2020-05-15|Ростов-на-Дону</v>
      </c>
      <c r="B467" s="11">
        <v>43966.0</v>
      </c>
      <c r="C467" s="12" t="s">
        <v>20</v>
      </c>
      <c r="D467" s="12">
        <v>12229.5</v>
      </c>
      <c r="E467" s="12">
        <v>1122730.5</v>
      </c>
      <c r="F467" s="9">
        <f>VLOOKUP(A467,'Лист2'!$A$1:$F$505,4,FALSE)</f>
        <v>15</v>
      </c>
      <c r="G467" s="9">
        <f>VLOOKUP(A467,'Лист2'!$A$1:$F$505,5,FALSE)</f>
        <v>688</v>
      </c>
      <c r="H467" s="9">
        <f>VLOOKUP(A467,'Лист2'!$A$1:$F$505,6,FALSE)</f>
        <v>598</v>
      </c>
      <c r="I467" s="10">
        <f t="shared" si="2"/>
        <v>74848.7</v>
      </c>
      <c r="J467" s="10">
        <f t="shared" si="3"/>
        <v>20</v>
      </c>
    </row>
    <row r="468" ht="14.25" customHeight="1">
      <c r="A468" s="6" t="str">
        <f t="shared" si="1"/>
        <v>2020-05-27|Краснодар</v>
      </c>
      <c r="B468" s="7">
        <v>43978.0</v>
      </c>
      <c r="C468" s="8" t="s">
        <v>21</v>
      </c>
      <c r="D468" s="8">
        <v>28050.0</v>
      </c>
      <c r="E468" s="8">
        <v>2458555.5</v>
      </c>
      <c r="F468" s="9">
        <f>VLOOKUP(A468,'Лист2'!$A$1:$F$505,4,FALSE)</f>
        <v>20</v>
      </c>
      <c r="G468" s="9">
        <f>VLOOKUP(A468,'Лист2'!$A$1:$F$505,5,FALSE)</f>
        <v>1873</v>
      </c>
      <c r="H468" s="9">
        <f>VLOOKUP(A468,'Лист2'!$A$1:$F$505,6,FALSE)</f>
        <v>1715</v>
      </c>
      <c r="I468" s="10">
        <f t="shared" si="2"/>
        <v>122927.775</v>
      </c>
      <c r="J468" s="10">
        <f t="shared" si="3"/>
        <v>22</v>
      </c>
    </row>
    <row r="469" ht="14.25" customHeight="1">
      <c r="A469" s="6" t="str">
        <f t="shared" si="1"/>
        <v>2020-05-22|Краснодар</v>
      </c>
      <c r="B469" s="11">
        <v>43973.0</v>
      </c>
      <c r="C469" s="12" t="s">
        <v>21</v>
      </c>
      <c r="D469" s="12">
        <v>30781.5</v>
      </c>
      <c r="E469" s="12">
        <v>2540715.0</v>
      </c>
      <c r="F469" s="9">
        <f>VLOOKUP(A469,'Лист2'!$A$1:$F$505,4,FALSE)</f>
        <v>19</v>
      </c>
      <c r="G469" s="9">
        <f>VLOOKUP(A469,'Лист2'!$A$1:$F$505,5,FALSE)</f>
        <v>1859</v>
      </c>
      <c r="H469" s="9">
        <f>VLOOKUP(A469,'Лист2'!$A$1:$F$505,6,FALSE)</f>
        <v>1697</v>
      </c>
      <c r="I469" s="10">
        <f t="shared" si="2"/>
        <v>133721.8421</v>
      </c>
      <c r="J469" s="10">
        <f t="shared" si="3"/>
        <v>21</v>
      </c>
    </row>
    <row r="470" ht="14.25" customHeight="1">
      <c r="A470" s="6" t="str">
        <f t="shared" si="1"/>
        <v>2020-06-01|Краснодар</v>
      </c>
      <c r="B470" s="7">
        <v>43983.0</v>
      </c>
      <c r="C470" s="8" t="s">
        <v>21</v>
      </c>
      <c r="D470" s="8">
        <v>27960.0</v>
      </c>
      <c r="E470" s="8">
        <v>2538967.5</v>
      </c>
      <c r="F470" s="9">
        <f>VLOOKUP(A470,'Лист2'!$A$1:$F$505,4,FALSE)</f>
        <v>21</v>
      </c>
      <c r="G470" s="9">
        <f>VLOOKUP(A470,'Лист2'!$A$1:$F$505,5,FALSE)</f>
        <v>1879</v>
      </c>
      <c r="H470" s="9">
        <f>VLOOKUP(A470,'Лист2'!$A$1:$F$505,6,FALSE)</f>
        <v>1720</v>
      </c>
      <c r="I470" s="10">
        <f t="shared" si="2"/>
        <v>120903.2143</v>
      </c>
      <c r="J470" s="10">
        <f t="shared" si="3"/>
        <v>23</v>
      </c>
    </row>
    <row r="471" ht="14.25" customHeight="1">
      <c r="A471" s="6" t="str">
        <f t="shared" si="1"/>
        <v>2020-05-11|Краснодар</v>
      </c>
      <c r="B471" s="11">
        <v>43962.0</v>
      </c>
      <c r="C471" s="12" t="s">
        <v>21</v>
      </c>
      <c r="D471" s="12">
        <v>23629.5</v>
      </c>
      <c r="E471" s="12">
        <v>2164365.0</v>
      </c>
      <c r="F471" s="9">
        <f>VLOOKUP(A471,'Лист2'!$A$1:$F$505,4,FALSE)</f>
        <v>19</v>
      </c>
      <c r="G471" s="9">
        <f>VLOOKUP(A471,'Лист2'!$A$1:$F$505,5,FALSE)</f>
        <v>1527</v>
      </c>
      <c r="H471" s="9">
        <f>VLOOKUP(A471,'Лист2'!$A$1:$F$505,6,FALSE)</f>
        <v>1389</v>
      </c>
      <c r="I471" s="10">
        <f t="shared" si="2"/>
        <v>113913.9474</v>
      </c>
      <c r="J471" s="10">
        <f t="shared" si="3"/>
        <v>20</v>
      </c>
    </row>
    <row r="472" ht="14.25" customHeight="1">
      <c r="A472" s="6" t="str">
        <f t="shared" si="1"/>
        <v>2020-05-29|Ростов-на-Дону</v>
      </c>
      <c r="B472" s="7">
        <v>43980.0</v>
      </c>
      <c r="C472" s="8" t="s">
        <v>20</v>
      </c>
      <c r="D472" s="8">
        <v>17052.0</v>
      </c>
      <c r="E472" s="8">
        <v>1549020.0</v>
      </c>
      <c r="F472" s="9">
        <f>VLOOKUP(A472,'Лист2'!$A$1:$F$505,4,FALSE)</f>
        <v>16</v>
      </c>
      <c r="G472" s="9">
        <f>VLOOKUP(A472,'Лист2'!$A$1:$F$505,5,FALSE)</f>
        <v>981</v>
      </c>
      <c r="H472" s="9">
        <f>VLOOKUP(A472,'Лист2'!$A$1:$F$505,6,FALSE)</f>
        <v>859</v>
      </c>
      <c r="I472" s="10">
        <f t="shared" si="2"/>
        <v>96813.75</v>
      </c>
      <c r="J472" s="10">
        <f t="shared" si="3"/>
        <v>22</v>
      </c>
    </row>
    <row r="473" ht="14.25" customHeight="1">
      <c r="A473" s="6" t="str">
        <f t="shared" si="1"/>
        <v>2020-05-18|Краснодар</v>
      </c>
      <c r="B473" s="11">
        <v>43969.0</v>
      </c>
      <c r="C473" s="12" t="s">
        <v>21</v>
      </c>
      <c r="D473" s="12">
        <v>27181.5</v>
      </c>
      <c r="E473" s="12">
        <v>2324490.0</v>
      </c>
      <c r="F473" s="9">
        <f>VLOOKUP(A473,'Лист2'!$A$1:$F$505,4,FALSE)</f>
        <v>19</v>
      </c>
      <c r="G473" s="9">
        <f>VLOOKUP(A473,'Лист2'!$A$1:$F$505,5,FALSE)</f>
        <v>1741</v>
      </c>
      <c r="H473" s="9">
        <f>VLOOKUP(A473,'Лист2'!$A$1:$F$505,6,FALSE)</f>
        <v>1597</v>
      </c>
      <c r="I473" s="10">
        <f t="shared" si="2"/>
        <v>122341.5789</v>
      </c>
      <c r="J473" s="10">
        <f t="shared" si="3"/>
        <v>21</v>
      </c>
    </row>
    <row r="474" ht="14.25" customHeight="1">
      <c r="A474" s="6" t="str">
        <f t="shared" si="1"/>
        <v>2020-05-14|Краснодар</v>
      </c>
      <c r="B474" s="7">
        <v>43965.0</v>
      </c>
      <c r="C474" s="8" t="s">
        <v>21</v>
      </c>
      <c r="D474" s="8">
        <v>25656.0</v>
      </c>
      <c r="E474" s="8">
        <v>2225341.5</v>
      </c>
      <c r="F474" s="9">
        <f>VLOOKUP(A474,'Лист2'!$A$1:$F$505,4,FALSE)</f>
        <v>19</v>
      </c>
      <c r="G474" s="9">
        <f>VLOOKUP(A474,'Лист2'!$A$1:$F$505,5,FALSE)</f>
        <v>1635</v>
      </c>
      <c r="H474" s="9">
        <f>VLOOKUP(A474,'Лист2'!$A$1:$F$505,6,FALSE)</f>
        <v>1487</v>
      </c>
      <c r="I474" s="10">
        <f t="shared" si="2"/>
        <v>117123.2368</v>
      </c>
      <c r="J474" s="10">
        <f t="shared" si="3"/>
        <v>20</v>
      </c>
    </row>
    <row r="475" ht="14.25" customHeight="1">
      <c r="A475" s="6" t="str">
        <f t="shared" si="1"/>
        <v>2020-05-15|Краснодар</v>
      </c>
      <c r="B475" s="11">
        <v>43966.0</v>
      </c>
      <c r="C475" s="12" t="s">
        <v>21</v>
      </c>
      <c r="D475" s="12">
        <v>29283.0</v>
      </c>
      <c r="E475" s="12">
        <v>2477487.0</v>
      </c>
      <c r="F475" s="9">
        <f>VLOOKUP(A475,'Лист2'!$A$1:$F$505,4,FALSE)</f>
        <v>19</v>
      </c>
      <c r="G475" s="9">
        <f>VLOOKUP(A475,'Лист2'!$A$1:$F$505,5,FALSE)</f>
        <v>1780</v>
      </c>
      <c r="H475" s="9">
        <f>VLOOKUP(A475,'Лист2'!$A$1:$F$505,6,FALSE)</f>
        <v>1615</v>
      </c>
      <c r="I475" s="10">
        <f t="shared" si="2"/>
        <v>130394.0526</v>
      </c>
      <c r="J475" s="10">
        <f t="shared" si="3"/>
        <v>20</v>
      </c>
    </row>
    <row r="476" ht="14.25" customHeight="1">
      <c r="A476" s="6" t="str">
        <f t="shared" si="1"/>
        <v>2020-05-29|Краснодар</v>
      </c>
      <c r="B476" s="7">
        <v>43980.0</v>
      </c>
      <c r="C476" s="8" t="s">
        <v>21</v>
      </c>
      <c r="D476" s="8">
        <v>32782.5</v>
      </c>
      <c r="E476" s="8">
        <v>2854741.5</v>
      </c>
      <c r="F476" s="9">
        <f>VLOOKUP(A476,'Лист2'!$A$1:$F$505,4,FALSE)</f>
        <v>20</v>
      </c>
      <c r="G476" s="9">
        <f>VLOOKUP(A476,'Лист2'!$A$1:$F$505,5,FALSE)</f>
        <v>2064</v>
      </c>
      <c r="H476" s="9">
        <f>VLOOKUP(A476,'Лист2'!$A$1:$F$505,6,FALSE)</f>
        <v>1896</v>
      </c>
      <c r="I476" s="10">
        <f t="shared" si="2"/>
        <v>142737.075</v>
      </c>
      <c r="J476" s="10">
        <f t="shared" si="3"/>
        <v>22</v>
      </c>
    </row>
    <row r="477" ht="14.25" customHeight="1">
      <c r="A477" s="6" t="str">
        <f t="shared" si="1"/>
        <v>2020-05-27|Москва Запад</v>
      </c>
      <c r="B477" s="11">
        <v>43978.0</v>
      </c>
      <c r="C477" s="12" t="s">
        <v>22</v>
      </c>
      <c r="D477" s="12">
        <v>215592.0</v>
      </c>
      <c r="E477" s="12">
        <v>2.23423005E7</v>
      </c>
      <c r="F477" s="9">
        <f>VLOOKUP(A477,'Лист2'!$A$1:$F$505,4,FALSE)</f>
        <v>59</v>
      </c>
      <c r="G477" s="9">
        <f>VLOOKUP(A477,'Лист2'!$A$1:$F$505,5,FALSE)</f>
        <v>13942</v>
      </c>
      <c r="H477" s="9">
        <f>VLOOKUP(A477,'Лист2'!$A$1:$F$505,6,FALSE)</f>
        <v>12986</v>
      </c>
      <c r="I477" s="10">
        <f t="shared" si="2"/>
        <v>378683.0593</v>
      </c>
      <c r="J477" s="10">
        <f t="shared" si="3"/>
        <v>22</v>
      </c>
    </row>
    <row r="478" ht="14.25" customHeight="1">
      <c r="A478" s="6" t="str">
        <f t="shared" si="1"/>
        <v>2020-05-22|Москва Запад</v>
      </c>
      <c r="B478" s="7">
        <v>43973.0</v>
      </c>
      <c r="C478" s="8" t="s">
        <v>22</v>
      </c>
      <c r="D478" s="8">
        <v>228334.5</v>
      </c>
      <c r="E478" s="8">
        <v>2.23807725E7</v>
      </c>
      <c r="F478" s="9">
        <f>VLOOKUP(A478,'Лист2'!$A$1:$F$505,4,FALSE)</f>
        <v>60</v>
      </c>
      <c r="G478" s="9">
        <f>VLOOKUP(A478,'Лист2'!$A$1:$F$505,5,FALSE)</f>
        <v>14050</v>
      </c>
      <c r="H478" s="9">
        <f>VLOOKUP(A478,'Лист2'!$A$1:$F$505,6,FALSE)</f>
        <v>13027</v>
      </c>
      <c r="I478" s="10">
        <f t="shared" si="2"/>
        <v>373012.875</v>
      </c>
      <c r="J478" s="10">
        <f t="shared" si="3"/>
        <v>21</v>
      </c>
    </row>
    <row r="479" ht="14.25" customHeight="1">
      <c r="A479" s="6" t="str">
        <f t="shared" si="1"/>
        <v>2020-06-01|Москва Запад</v>
      </c>
      <c r="B479" s="11">
        <v>43983.0</v>
      </c>
      <c r="C479" s="12" t="s">
        <v>22</v>
      </c>
      <c r="D479" s="12">
        <v>188776.5</v>
      </c>
      <c r="E479" s="12">
        <v>1.94653725E7</v>
      </c>
      <c r="F479" s="9">
        <f>VLOOKUP(A479,'Лист2'!$A$1:$F$505,4,FALSE)</f>
        <v>59</v>
      </c>
      <c r="G479" s="9">
        <f>VLOOKUP(A479,'Лист2'!$A$1:$F$505,5,FALSE)</f>
        <v>12299</v>
      </c>
      <c r="H479" s="9">
        <f>VLOOKUP(A479,'Лист2'!$A$1:$F$505,6,FALSE)</f>
        <v>11448</v>
      </c>
      <c r="I479" s="10">
        <f t="shared" si="2"/>
        <v>329921.5678</v>
      </c>
      <c r="J479" s="10">
        <f t="shared" si="3"/>
        <v>23</v>
      </c>
    </row>
    <row r="480" ht="14.25" customHeight="1">
      <c r="A480" s="6" t="str">
        <f t="shared" si="1"/>
        <v>2020-05-11|Москва Запад</v>
      </c>
      <c r="B480" s="7">
        <v>43962.0</v>
      </c>
      <c r="C480" s="8" t="s">
        <v>22</v>
      </c>
      <c r="D480" s="8">
        <v>175293.0</v>
      </c>
      <c r="E480" s="8">
        <v>1.7919144E7</v>
      </c>
      <c r="F480" s="9">
        <f>VLOOKUP(A480,'Лист2'!$A$1:$F$505,4,FALSE)</f>
        <v>60</v>
      </c>
      <c r="G480" s="9">
        <f>VLOOKUP(A480,'Лист2'!$A$1:$F$505,5,FALSE)</f>
        <v>11100</v>
      </c>
      <c r="H480" s="9">
        <f>VLOOKUP(A480,'Лист2'!$A$1:$F$505,6,FALSE)</f>
        <v>10407</v>
      </c>
      <c r="I480" s="10">
        <f t="shared" si="2"/>
        <v>298652.4</v>
      </c>
      <c r="J480" s="10">
        <f t="shared" si="3"/>
        <v>20</v>
      </c>
    </row>
    <row r="481" ht="14.25" customHeight="1">
      <c r="A481" s="6" t="str">
        <f t="shared" si="1"/>
        <v>2020-05-18|Москва Запад</v>
      </c>
      <c r="B481" s="11">
        <v>43969.0</v>
      </c>
      <c r="C481" s="12" t="s">
        <v>22</v>
      </c>
      <c r="D481" s="12">
        <v>201999.0</v>
      </c>
      <c r="E481" s="12">
        <v>2.04224355E7</v>
      </c>
      <c r="F481" s="9">
        <f>VLOOKUP(A481,'Лист2'!$A$1:$F$505,4,FALSE)</f>
        <v>60</v>
      </c>
      <c r="G481" s="9">
        <f>VLOOKUP(A481,'Лист2'!$A$1:$F$505,5,FALSE)</f>
        <v>12460</v>
      </c>
      <c r="H481" s="9">
        <f>VLOOKUP(A481,'Лист2'!$A$1:$F$505,6,FALSE)</f>
        <v>11665</v>
      </c>
      <c r="I481" s="10">
        <f t="shared" si="2"/>
        <v>340373.925</v>
      </c>
      <c r="J481" s="10">
        <f t="shared" si="3"/>
        <v>21</v>
      </c>
    </row>
    <row r="482" ht="14.25" customHeight="1">
      <c r="A482" s="6" t="str">
        <f t="shared" si="1"/>
        <v>2020-05-14|Москва Запад</v>
      </c>
      <c r="B482" s="7">
        <v>43965.0</v>
      </c>
      <c r="C482" s="8" t="s">
        <v>22</v>
      </c>
      <c r="D482" s="8">
        <v>197946.0</v>
      </c>
      <c r="E482" s="8">
        <v>1.99424355E7</v>
      </c>
      <c r="F482" s="9">
        <f>VLOOKUP(A482,'Лист2'!$A$1:$F$505,4,FALSE)</f>
        <v>60</v>
      </c>
      <c r="G482" s="9">
        <f>VLOOKUP(A482,'Лист2'!$A$1:$F$505,5,FALSE)</f>
        <v>11935</v>
      </c>
      <c r="H482" s="9">
        <f>VLOOKUP(A482,'Лист2'!$A$1:$F$505,6,FALSE)</f>
        <v>11178</v>
      </c>
      <c r="I482" s="10">
        <f t="shared" si="2"/>
        <v>332373.925</v>
      </c>
      <c r="J482" s="10">
        <f t="shared" si="3"/>
        <v>20</v>
      </c>
    </row>
    <row r="483" ht="14.25" customHeight="1">
      <c r="A483" s="6" t="str">
        <f t="shared" si="1"/>
        <v>2020-05-15|Москва Запад</v>
      </c>
      <c r="B483" s="11">
        <v>43966.0</v>
      </c>
      <c r="C483" s="12" t="s">
        <v>22</v>
      </c>
      <c r="D483" s="12">
        <v>230896.5</v>
      </c>
      <c r="E483" s="12">
        <v>2.3085222E7</v>
      </c>
      <c r="F483" s="9">
        <f>VLOOKUP(A483,'Лист2'!$A$1:$F$505,4,FALSE)</f>
        <v>60</v>
      </c>
      <c r="G483" s="9">
        <f>VLOOKUP(A483,'Лист2'!$A$1:$F$505,5,FALSE)</f>
        <v>13544</v>
      </c>
      <c r="H483" s="9">
        <f>VLOOKUP(A483,'Лист2'!$A$1:$F$505,6,FALSE)</f>
        <v>12643</v>
      </c>
      <c r="I483" s="10">
        <f t="shared" si="2"/>
        <v>384753.7</v>
      </c>
      <c r="J483" s="10">
        <f t="shared" si="3"/>
        <v>20</v>
      </c>
    </row>
    <row r="484" ht="14.25" customHeight="1">
      <c r="A484" s="6" t="str">
        <f t="shared" si="1"/>
        <v>2020-05-27|Москва Восток</v>
      </c>
      <c r="B484" s="7">
        <v>43978.0</v>
      </c>
      <c r="C484" s="8" t="s">
        <v>23</v>
      </c>
      <c r="D484" s="8">
        <v>203532.0</v>
      </c>
      <c r="E484" s="8">
        <v>2.09533245E7</v>
      </c>
      <c r="F484" s="9">
        <f>VLOOKUP(A484,'Лист2'!$A$1:$F$505,4,FALSE)</f>
        <v>54</v>
      </c>
      <c r="G484" s="9">
        <f>VLOOKUP(A484,'Лист2'!$A$1:$F$505,5,FALSE)</f>
        <v>13091</v>
      </c>
      <c r="H484" s="9">
        <f>VLOOKUP(A484,'Лист2'!$A$1:$F$505,6,FALSE)</f>
        <v>12216</v>
      </c>
      <c r="I484" s="10">
        <f t="shared" si="2"/>
        <v>388024.5278</v>
      </c>
      <c r="J484" s="10">
        <f t="shared" si="3"/>
        <v>22</v>
      </c>
    </row>
    <row r="485" ht="14.25" customHeight="1">
      <c r="A485" s="6" t="str">
        <f t="shared" si="1"/>
        <v>2020-05-22|Москва Восток</v>
      </c>
      <c r="B485" s="11">
        <v>43973.0</v>
      </c>
      <c r="C485" s="12" t="s">
        <v>23</v>
      </c>
      <c r="D485" s="12">
        <v>214428.0</v>
      </c>
      <c r="E485" s="12">
        <v>2.08125855E7</v>
      </c>
      <c r="F485" s="9">
        <f>VLOOKUP(A485,'Лист2'!$A$1:$F$505,4,FALSE)</f>
        <v>54</v>
      </c>
      <c r="G485" s="9">
        <f>VLOOKUP(A485,'Лист2'!$A$1:$F$505,5,FALSE)</f>
        <v>13014</v>
      </c>
      <c r="H485" s="9">
        <f>VLOOKUP(A485,'Лист2'!$A$1:$F$505,6,FALSE)</f>
        <v>12095</v>
      </c>
      <c r="I485" s="10">
        <f t="shared" si="2"/>
        <v>385418.25</v>
      </c>
      <c r="J485" s="10">
        <f t="shared" si="3"/>
        <v>21</v>
      </c>
    </row>
    <row r="486" ht="14.25" customHeight="1">
      <c r="A486" s="6" t="str">
        <f t="shared" si="1"/>
        <v>2020-06-01|Москва Восток</v>
      </c>
      <c r="B486" s="7">
        <v>43983.0</v>
      </c>
      <c r="C486" s="8" t="s">
        <v>23</v>
      </c>
      <c r="D486" s="8">
        <v>183228.0</v>
      </c>
      <c r="E486" s="8">
        <v>1.89141945E7</v>
      </c>
      <c r="F486" s="9">
        <f>VLOOKUP(A486,'Лист2'!$A$1:$F$505,4,FALSE)</f>
        <v>54</v>
      </c>
      <c r="G486" s="9">
        <f>VLOOKUP(A486,'Лист2'!$A$1:$F$505,5,FALSE)</f>
        <v>11864</v>
      </c>
      <c r="H486" s="9">
        <f>VLOOKUP(A486,'Лист2'!$A$1:$F$505,6,FALSE)</f>
        <v>11071</v>
      </c>
      <c r="I486" s="10">
        <f t="shared" si="2"/>
        <v>350262.8611</v>
      </c>
      <c r="J486" s="10">
        <f t="shared" si="3"/>
        <v>23</v>
      </c>
    </row>
    <row r="487" ht="14.25" customHeight="1">
      <c r="A487" s="6" t="str">
        <f t="shared" si="1"/>
        <v>2020-05-11|Москва Восток</v>
      </c>
      <c r="B487" s="11">
        <v>43962.0</v>
      </c>
      <c r="C487" s="12" t="s">
        <v>23</v>
      </c>
      <c r="D487" s="12">
        <v>166948.5</v>
      </c>
      <c r="E487" s="12">
        <v>1.6971231E7</v>
      </c>
      <c r="F487" s="9">
        <f>VLOOKUP(A487,'Лист2'!$A$1:$F$505,4,FALSE)</f>
        <v>54</v>
      </c>
      <c r="G487" s="9">
        <f>VLOOKUP(A487,'Лист2'!$A$1:$F$505,5,FALSE)</f>
        <v>10570</v>
      </c>
      <c r="H487" s="9">
        <f>VLOOKUP(A487,'Лист2'!$A$1:$F$505,6,FALSE)</f>
        <v>9926</v>
      </c>
      <c r="I487" s="10">
        <f t="shared" si="2"/>
        <v>314282.0556</v>
      </c>
      <c r="J487" s="10">
        <f t="shared" si="3"/>
        <v>20</v>
      </c>
    </row>
    <row r="488" ht="14.25" customHeight="1">
      <c r="A488" s="6" t="str">
        <f t="shared" si="1"/>
        <v>2020-05-29|Москва Запад</v>
      </c>
      <c r="B488" s="7">
        <v>43980.0</v>
      </c>
      <c r="C488" s="8" t="s">
        <v>22</v>
      </c>
      <c r="D488" s="8">
        <v>232102.5</v>
      </c>
      <c r="E488" s="8">
        <v>2.31204435E7</v>
      </c>
      <c r="F488" s="9">
        <f>VLOOKUP(A488,'Лист2'!$A$1:$F$505,4,FALSE)</f>
        <v>59</v>
      </c>
      <c r="G488" s="9">
        <f>VLOOKUP(A488,'Лист2'!$A$1:$F$505,5,FALSE)</f>
        <v>14507</v>
      </c>
      <c r="H488" s="9">
        <f>VLOOKUP(A488,'Лист2'!$A$1:$F$505,6,FALSE)</f>
        <v>13386</v>
      </c>
      <c r="I488" s="10">
        <f t="shared" si="2"/>
        <v>391871.9237</v>
      </c>
      <c r="J488" s="10">
        <f t="shared" si="3"/>
        <v>22</v>
      </c>
    </row>
    <row r="489" ht="14.25" customHeight="1">
      <c r="A489" s="6" t="str">
        <f t="shared" si="1"/>
        <v>2020-05-18|Москва Восток</v>
      </c>
      <c r="B489" s="11">
        <v>43969.0</v>
      </c>
      <c r="C489" s="12" t="s">
        <v>23</v>
      </c>
      <c r="D489" s="12">
        <v>196560.0</v>
      </c>
      <c r="E489" s="12">
        <v>1.9855122E7</v>
      </c>
      <c r="F489" s="9">
        <f>VLOOKUP(A489,'Лист2'!$A$1:$F$505,4,FALSE)</f>
        <v>54</v>
      </c>
      <c r="G489" s="9">
        <f>VLOOKUP(A489,'Лист2'!$A$1:$F$505,5,FALSE)</f>
        <v>12012</v>
      </c>
      <c r="H489" s="9">
        <f>VLOOKUP(A489,'Лист2'!$A$1:$F$505,6,FALSE)</f>
        <v>11308</v>
      </c>
      <c r="I489" s="10">
        <f t="shared" si="2"/>
        <v>367687.4444</v>
      </c>
      <c r="J489" s="10">
        <f t="shared" si="3"/>
        <v>21</v>
      </c>
    </row>
    <row r="490" ht="14.25" customHeight="1">
      <c r="A490" s="6" t="str">
        <f t="shared" si="1"/>
        <v>2020-05-14|Москва Восток</v>
      </c>
      <c r="B490" s="7">
        <v>43965.0</v>
      </c>
      <c r="C490" s="8" t="s">
        <v>23</v>
      </c>
      <c r="D490" s="8">
        <v>186496.5</v>
      </c>
      <c r="E490" s="8">
        <v>1.8640998E7</v>
      </c>
      <c r="F490" s="9">
        <f>VLOOKUP(A490,'Лист2'!$A$1:$F$505,4,FALSE)</f>
        <v>54</v>
      </c>
      <c r="G490" s="9">
        <f>VLOOKUP(A490,'Лист2'!$A$1:$F$505,5,FALSE)</f>
        <v>11194</v>
      </c>
      <c r="H490" s="9">
        <f>VLOOKUP(A490,'Лист2'!$A$1:$F$505,6,FALSE)</f>
        <v>10554</v>
      </c>
      <c r="I490" s="10">
        <f t="shared" si="2"/>
        <v>345203.6667</v>
      </c>
      <c r="J490" s="10">
        <f t="shared" si="3"/>
        <v>20</v>
      </c>
    </row>
    <row r="491" ht="14.25" customHeight="1">
      <c r="A491" s="6" t="str">
        <f t="shared" si="1"/>
        <v>2020-05-15|Москва Восток</v>
      </c>
      <c r="B491" s="11">
        <v>43966.0</v>
      </c>
      <c r="C491" s="12" t="s">
        <v>23</v>
      </c>
      <c r="D491" s="12">
        <v>219772.5</v>
      </c>
      <c r="E491" s="12">
        <v>2.18952945E7</v>
      </c>
      <c r="F491" s="9">
        <f>VLOOKUP(A491,'Лист2'!$A$1:$F$505,4,FALSE)</f>
        <v>54</v>
      </c>
      <c r="G491" s="9">
        <f>VLOOKUP(A491,'Лист2'!$A$1:$F$505,5,FALSE)</f>
        <v>12791</v>
      </c>
      <c r="H491" s="9">
        <f>VLOOKUP(A491,'Лист2'!$A$1:$F$505,6,FALSE)</f>
        <v>11950</v>
      </c>
      <c r="I491" s="10">
        <f t="shared" si="2"/>
        <v>405468.4167</v>
      </c>
      <c r="J491" s="10">
        <f t="shared" si="3"/>
        <v>20</v>
      </c>
    </row>
    <row r="492" ht="14.25" customHeight="1">
      <c r="A492" s="6" t="str">
        <f t="shared" si="1"/>
        <v>2020-05-29|Москва Восток</v>
      </c>
      <c r="B492" s="7">
        <v>43980.0</v>
      </c>
      <c r="C492" s="8" t="s">
        <v>23</v>
      </c>
      <c r="D492" s="8">
        <v>226476.0</v>
      </c>
      <c r="E492" s="8">
        <v>2.24161515E7</v>
      </c>
      <c r="F492" s="9">
        <f>VLOOKUP(A492,'Лист2'!$A$1:$F$505,4,FALSE)</f>
        <v>54</v>
      </c>
      <c r="G492" s="9">
        <f>VLOOKUP(A492,'Лист2'!$A$1:$F$505,5,FALSE)</f>
        <v>14031</v>
      </c>
      <c r="H492" s="9">
        <f>VLOOKUP(A492,'Лист2'!$A$1:$F$505,6,FALSE)</f>
        <v>12943</v>
      </c>
      <c r="I492" s="10">
        <f t="shared" si="2"/>
        <v>415113.9167</v>
      </c>
      <c r="J492" s="10">
        <f t="shared" si="3"/>
        <v>22</v>
      </c>
    </row>
    <row r="493" ht="14.25" customHeight="1">
      <c r="A493" s="6" t="str">
        <f t="shared" si="1"/>
        <v>2020-05-27|Тюмень</v>
      </c>
      <c r="B493" s="11">
        <v>43978.0</v>
      </c>
      <c r="C493" s="12" t="s">
        <v>25</v>
      </c>
      <c r="D493" s="12">
        <v>8362.5</v>
      </c>
      <c r="E493" s="12">
        <v>687684.0</v>
      </c>
      <c r="F493" s="9">
        <f>VLOOKUP(A493,'Лист2'!$A$1:$F$505,4,FALSE)</f>
        <v>7</v>
      </c>
      <c r="G493" s="9">
        <f>VLOOKUP(A493,'Лист2'!$A$1:$F$505,5,FALSE)</f>
        <v>409</v>
      </c>
      <c r="H493" s="9">
        <f>VLOOKUP(A493,'Лист2'!$A$1:$F$505,6,FALSE)</f>
        <v>329</v>
      </c>
      <c r="I493" s="10">
        <f t="shared" si="2"/>
        <v>98240.57143</v>
      </c>
      <c r="J493" s="10">
        <f t="shared" si="3"/>
        <v>22</v>
      </c>
    </row>
    <row r="494" ht="14.25" customHeight="1">
      <c r="A494" s="6" t="str">
        <f t="shared" si="1"/>
        <v>2020-05-22|Новосибирск</v>
      </c>
      <c r="B494" s="7">
        <v>43973.0</v>
      </c>
      <c r="C494" s="8" t="s">
        <v>24</v>
      </c>
      <c r="D494" s="8">
        <v>17008.5</v>
      </c>
      <c r="E494" s="8">
        <v>1398771.0</v>
      </c>
      <c r="F494" s="9">
        <f>VLOOKUP(A494,'Лист2'!$A$1:$F$505,4,FALSE)</f>
        <v>18</v>
      </c>
      <c r="G494" s="9">
        <f>VLOOKUP(A494,'Лист2'!$A$1:$F$505,5,FALSE)</f>
        <v>985</v>
      </c>
      <c r="H494" s="9">
        <f>VLOOKUP(A494,'Лист2'!$A$1:$F$505,6,FALSE)</f>
        <v>861</v>
      </c>
      <c r="I494" s="10">
        <f t="shared" si="2"/>
        <v>77709.5</v>
      </c>
      <c r="J494" s="10">
        <f t="shared" si="3"/>
        <v>21</v>
      </c>
    </row>
    <row r="495" ht="14.25" customHeight="1">
      <c r="A495" s="6" t="str">
        <f t="shared" si="1"/>
        <v>2020-06-01|Томск</v>
      </c>
      <c r="B495" s="11">
        <v>43983.0</v>
      </c>
      <c r="C495" s="12" t="s">
        <v>26</v>
      </c>
      <c r="D495" s="12">
        <v>5166.0</v>
      </c>
      <c r="E495" s="12">
        <v>389013.0</v>
      </c>
      <c r="F495" s="9">
        <f>VLOOKUP(A495,'Лист2'!$A$1:$F$505,4,FALSE)</f>
        <v>9</v>
      </c>
      <c r="G495" s="9">
        <f>VLOOKUP(A495,'Лист2'!$A$1:$F$505,5,FALSE)</f>
        <v>294</v>
      </c>
      <c r="H495" s="9">
        <f>VLOOKUP(A495,'Лист2'!$A$1:$F$505,6,FALSE)</f>
        <v>224</v>
      </c>
      <c r="I495" s="10">
        <f t="shared" si="2"/>
        <v>43223.66667</v>
      </c>
      <c r="J495" s="10">
        <f t="shared" si="3"/>
        <v>23</v>
      </c>
    </row>
    <row r="496" ht="14.25" customHeight="1">
      <c r="A496" s="6" t="str">
        <f t="shared" si="1"/>
        <v>2020-05-11|Новосибирск</v>
      </c>
      <c r="B496" s="7">
        <v>43962.0</v>
      </c>
      <c r="C496" s="8" t="s">
        <v>24</v>
      </c>
      <c r="D496" s="8">
        <v>10941.0</v>
      </c>
      <c r="E496" s="8">
        <v>880356.0</v>
      </c>
      <c r="F496" s="9">
        <f>VLOOKUP(A496,'Лист2'!$A$1:$F$505,4,FALSE)</f>
        <v>15</v>
      </c>
      <c r="G496" s="9">
        <f>VLOOKUP(A496,'Лист2'!$A$1:$F$505,5,FALSE)</f>
        <v>654</v>
      </c>
      <c r="H496" s="9">
        <f>VLOOKUP(A496,'Лист2'!$A$1:$F$505,6,FALSE)</f>
        <v>564</v>
      </c>
      <c r="I496" s="10">
        <f t="shared" si="2"/>
        <v>58690.4</v>
      </c>
      <c r="J496" s="10">
        <f t="shared" si="3"/>
        <v>20</v>
      </c>
    </row>
    <row r="497" ht="14.25" customHeight="1">
      <c r="A497" s="6" t="str">
        <f t="shared" si="1"/>
        <v>2020-05-18|Новосибирск</v>
      </c>
      <c r="B497" s="11">
        <v>43969.0</v>
      </c>
      <c r="C497" s="12" t="s">
        <v>24</v>
      </c>
      <c r="D497" s="12">
        <v>14497.5</v>
      </c>
      <c r="E497" s="12">
        <v>1230711.0</v>
      </c>
      <c r="F497" s="9">
        <f>VLOOKUP(A497,'Лист2'!$A$1:$F$505,4,FALSE)</f>
        <v>16</v>
      </c>
      <c r="G497" s="9">
        <f>VLOOKUP(A497,'Лист2'!$A$1:$F$505,5,FALSE)</f>
        <v>864</v>
      </c>
      <c r="H497" s="9">
        <f>VLOOKUP(A497,'Лист2'!$A$1:$F$505,6,FALSE)</f>
        <v>765</v>
      </c>
      <c r="I497" s="10">
        <f t="shared" si="2"/>
        <v>76919.4375</v>
      </c>
      <c r="J497" s="10">
        <f t="shared" si="3"/>
        <v>21</v>
      </c>
    </row>
    <row r="498" ht="14.25" customHeight="1">
      <c r="A498" s="6" t="str">
        <f t="shared" si="1"/>
        <v>2020-05-14|Новосибирск</v>
      </c>
      <c r="B498" s="7">
        <v>43965.0</v>
      </c>
      <c r="C498" s="8" t="s">
        <v>24</v>
      </c>
      <c r="D498" s="8">
        <v>13810.5</v>
      </c>
      <c r="E498" s="8">
        <v>1131676.5</v>
      </c>
      <c r="F498" s="9">
        <f>VLOOKUP(A498,'Лист2'!$A$1:$F$505,4,FALSE)</f>
        <v>16</v>
      </c>
      <c r="G498" s="9">
        <f>VLOOKUP(A498,'Лист2'!$A$1:$F$505,5,FALSE)</f>
        <v>834</v>
      </c>
      <c r="H498" s="9">
        <f>VLOOKUP(A498,'Лист2'!$A$1:$F$505,6,FALSE)</f>
        <v>735</v>
      </c>
      <c r="I498" s="10">
        <f t="shared" si="2"/>
        <v>70729.78125</v>
      </c>
      <c r="J498" s="10">
        <f t="shared" si="3"/>
        <v>20</v>
      </c>
    </row>
    <row r="499" ht="14.25" customHeight="1">
      <c r="A499" s="6" t="str">
        <f t="shared" si="1"/>
        <v>2020-05-15|Новосибирск</v>
      </c>
      <c r="B499" s="11">
        <v>43966.0</v>
      </c>
      <c r="C499" s="12" t="s">
        <v>24</v>
      </c>
      <c r="D499" s="12">
        <v>13752.0</v>
      </c>
      <c r="E499" s="12">
        <v>1091040.0</v>
      </c>
      <c r="F499" s="9">
        <f>VLOOKUP(A499,'Лист2'!$A$1:$F$505,4,FALSE)</f>
        <v>16</v>
      </c>
      <c r="G499" s="9">
        <f>VLOOKUP(A499,'Лист2'!$A$1:$F$505,5,FALSE)</f>
        <v>817</v>
      </c>
      <c r="H499" s="9">
        <f>VLOOKUP(A499,'Лист2'!$A$1:$F$505,6,FALSE)</f>
        <v>718</v>
      </c>
      <c r="I499" s="10">
        <f t="shared" si="2"/>
        <v>68190</v>
      </c>
      <c r="J499" s="10">
        <f t="shared" si="3"/>
        <v>20</v>
      </c>
    </row>
    <row r="500" ht="14.25" customHeight="1">
      <c r="A500" s="6" t="str">
        <f t="shared" si="1"/>
        <v>2020-05-27|Новосибирск</v>
      </c>
      <c r="B500" s="7">
        <v>43978.0</v>
      </c>
      <c r="C500" s="8" t="s">
        <v>24</v>
      </c>
      <c r="D500" s="8">
        <v>15276.0</v>
      </c>
      <c r="E500" s="8">
        <v>1350199.5</v>
      </c>
      <c r="F500" s="9">
        <f>VLOOKUP(A500,'Лист2'!$A$1:$F$505,4,FALSE)</f>
        <v>18</v>
      </c>
      <c r="G500" s="9">
        <f>VLOOKUP(A500,'Лист2'!$A$1:$F$505,5,FALSE)</f>
        <v>962</v>
      </c>
      <c r="H500" s="9">
        <f>VLOOKUP(A500,'Лист2'!$A$1:$F$505,6,FALSE)</f>
        <v>859</v>
      </c>
      <c r="I500" s="10">
        <f t="shared" si="2"/>
        <v>75011.08333</v>
      </c>
      <c r="J500" s="10">
        <f t="shared" si="3"/>
        <v>22</v>
      </c>
    </row>
    <row r="501" ht="14.25" customHeight="1">
      <c r="A501" s="6" t="str">
        <f t="shared" si="1"/>
        <v>2020-06-01|Уфа</v>
      </c>
      <c r="B501" s="11">
        <v>43983.0</v>
      </c>
      <c r="C501" s="12" t="s">
        <v>27</v>
      </c>
      <c r="D501" s="12">
        <v>4408.5</v>
      </c>
      <c r="E501" s="12">
        <v>410892.0</v>
      </c>
      <c r="F501" s="9">
        <f>VLOOKUP(A501,'Лист2'!$A$1:$F$505,4,FALSE)</f>
        <v>6</v>
      </c>
      <c r="G501" s="9">
        <f>VLOOKUP(A501,'Лист2'!$A$1:$F$505,5,FALSE)</f>
        <v>237</v>
      </c>
      <c r="H501" s="9">
        <f>VLOOKUP(A501,'Лист2'!$A$1:$F$505,6,FALSE)</f>
        <v>175</v>
      </c>
      <c r="I501" s="10">
        <f t="shared" si="2"/>
        <v>68482</v>
      </c>
      <c r="J501" s="10">
        <f t="shared" si="3"/>
        <v>23</v>
      </c>
    </row>
    <row r="502" ht="14.25" customHeight="1">
      <c r="A502" s="6" t="str">
        <f t="shared" si="1"/>
        <v>2020-05-29|Тюмень</v>
      </c>
      <c r="B502" s="7">
        <v>43980.0</v>
      </c>
      <c r="C502" s="8" t="s">
        <v>25</v>
      </c>
      <c r="D502" s="8">
        <v>9927.0</v>
      </c>
      <c r="E502" s="8">
        <v>850840.5</v>
      </c>
      <c r="F502" s="9">
        <f>VLOOKUP(A502,'Лист2'!$A$1:$F$505,4,FALSE)</f>
        <v>7</v>
      </c>
      <c r="G502" s="9">
        <f>VLOOKUP(A502,'Лист2'!$A$1:$F$505,5,FALSE)</f>
        <v>491</v>
      </c>
      <c r="H502" s="9">
        <f>VLOOKUP(A502,'Лист2'!$A$1:$F$505,6,FALSE)</f>
        <v>411</v>
      </c>
      <c r="I502" s="10">
        <f t="shared" si="2"/>
        <v>121548.6429</v>
      </c>
      <c r="J502" s="10">
        <f t="shared" si="3"/>
        <v>22</v>
      </c>
    </row>
    <row r="503" ht="14.25" customHeight="1">
      <c r="A503" s="6" t="str">
        <f t="shared" si="1"/>
        <v>2020-06-01|Тюмень</v>
      </c>
      <c r="B503" s="11">
        <v>43983.0</v>
      </c>
      <c r="C503" s="12" t="s">
        <v>25</v>
      </c>
      <c r="D503" s="12">
        <v>9474.0</v>
      </c>
      <c r="E503" s="12">
        <v>802447.5</v>
      </c>
      <c r="F503" s="9">
        <f>VLOOKUP(A503,'Лист2'!$A$1:$F$505,4,FALSE)</f>
        <v>7</v>
      </c>
      <c r="G503" s="9">
        <f>VLOOKUP(A503,'Лист2'!$A$1:$F$505,5,FALSE)</f>
        <v>500</v>
      </c>
      <c r="H503" s="9">
        <f>VLOOKUP(A503,'Лист2'!$A$1:$F$505,6,FALSE)</f>
        <v>418</v>
      </c>
      <c r="I503" s="10">
        <f t="shared" si="2"/>
        <v>114635.3571</v>
      </c>
      <c r="J503" s="10">
        <f t="shared" si="3"/>
        <v>23</v>
      </c>
    </row>
    <row r="504" ht="14.25" customHeight="1">
      <c r="A504" s="6" t="str">
        <f t="shared" si="1"/>
        <v>2020-05-29|Новосибирск</v>
      </c>
      <c r="B504" s="7">
        <v>43980.0</v>
      </c>
      <c r="C504" s="8" t="s">
        <v>24</v>
      </c>
      <c r="D504" s="8">
        <v>16878.0</v>
      </c>
      <c r="E504" s="8">
        <v>1438255.5</v>
      </c>
      <c r="F504" s="9">
        <f>VLOOKUP(A504,'Лист2'!$A$1:$F$505,4,FALSE)</f>
        <v>18</v>
      </c>
      <c r="G504" s="9">
        <f>VLOOKUP(A504,'Лист2'!$A$1:$F$505,5,FALSE)</f>
        <v>1014</v>
      </c>
      <c r="H504" s="9">
        <f>VLOOKUP(A504,'Лист2'!$A$1:$F$505,6,FALSE)</f>
        <v>893</v>
      </c>
      <c r="I504" s="10">
        <f t="shared" si="2"/>
        <v>79903.08333</v>
      </c>
      <c r="J504" s="10">
        <f t="shared" si="3"/>
        <v>22</v>
      </c>
    </row>
    <row r="505" ht="14.25" customHeight="1">
      <c r="A505" s="6" t="str">
        <f t="shared" si="1"/>
        <v>2020-06-01|Новосибирск</v>
      </c>
      <c r="B505" s="13">
        <v>43983.0</v>
      </c>
      <c r="C505" s="14" t="s">
        <v>24</v>
      </c>
      <c r="D505" s="14">
        <v>14238.0</v>
      </c>
      <c r="E505" s="14">
        <v>1293219.0</v>
      </c>
      <c r="F505" s="9">
        <f>VLOOKUP(A505,'Лист2'!$A$1:$F$505,4,FALSE)</f>
        <v>18</v>
      </c>
      <c r="G505" s="9">
        <f>VLOOKUP(A505,'Лист2'!$A$1:$F$505,5,FALSE)</f>
        <v>923</v>
      </c>
      <c r="H505" s="9">
        <f>VLOOKUP(A505,'Лист2'!$A$1:$F$505,6,FALSE)</f>
        <v>824</v>
      </c>
      <c r="I505" s="10">
        <f t="shared" si="2"/>
        <v>71845.5</v>
      </c>
      <c r="J505" s="10">
        <f t="shared" si="3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0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9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 ht="13.5" customHeight="1"/>
    <row r="24">
      <c r="A24" s="15" t="s">
        <v>31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1">
      <c r="A71" s="15"/>
    </row>
    <row r="72">
      <c r="A72" s="15"/>
    </row>
    <row r="73">
      <c r="A73" s="15" t="s">
        <v>33</v>
      </c>
    </row>
    <row r="74"/>
    <row r="75"/>
    <row r="76"/>
    <row r="77"/>
    <row r="78"/>
    <row r="79"/>
    <row r="80"/>
    <row r="81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43"/>
    <col customWidth="1" min="3" max="3" width="22.86"/>
    <col customWidth="1" min="4" max="4" width="22.71"/>
    <col customWidth="1" min="5" max="5" width="22.14"/>
    <col customWidth="1" min="6" max="6" width="25.43"/>
    <col customWidth="1" min="8" max="27" width="8.71"/>
  </cols>
  <sheetData>
    <row r="1" ht="14.25" customHeight="1">
      <c r="A1" s="6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</row>
    <row r="2" ht="14.25" customHeight="1">
      <c r="A2" s="6" t="str">
        <f t="shared" ref="A2:A505" si="1">TEXT(B2,"yyyy-mm-dd") &amp; "|" &amp; C2</f>
        <v>2020-04-28|Волгоград</v>
      </c>
      <c r="B2" s="18">
        <v>43949.0</v>
      </c>
      <c r="C2" s="9" t="s">
        <v>17</v>
      </c>
      <c r="D2" s="9">
        <v>36.0</v>
      </c>
      <c r="E2" s="9">
        <v>4923.0</v>
      </c>
      <c r="F2" s="9">
        <v>4560.0</v>
      </c>
    </row>
    <row r="3" ht="14.25" customHeight="1">
      <c r="A3" s="6" t="str">
        <f t="shared" si="1"/>
        <v>2020-04-28|Екатеринбург</v>
      </c>
      <c r="B3" s="18">
        <v>43949.0</v>
      </c>
      <c r="C3" s="9" t="s">
        <v>12</v>
      </c>
      <c r="D3" s="9">
        <v>31.0</v>
      </c>
      <c r="E3" s="9">
        <v>5465.0</v>
      </c>
      <c r="F3" s="9">
        <v>5096.0</v>
      </c>
    </row>
    <row r="4" ht="14.25" customHeight="1">
      <c r="A4" s="6" t="str">
        <f t="shared" si="1"/>
        <v>2020-04-28|Казань</v>
      </c>
      <c r="B4" s="18">
        <v>43949.0</v>
      </c>
      <c r="C4" s="9" t="s">
        <v>18</v>
      </c>
      <c r="D4" s="9">
        <v>19.0</v>
      </c>
      <c r="E4" s="9">
        <v>1846.0</v>
      </c>
      <c r="F4" s="9">
        <v>1681.0</v>
      </c>
    </row>
    <row r="5" ht="14.25" customHeight="1">
      <c r="A5" s="6" t="str">
        <f t="shared" si="1"/>
        <v>2020-04-28|Кемерово</v>
      </c>
      <c r="B5" s="18">
        <v>43949.0</v>
      </c>
      <c r="C5" s="9" t="s">
        <v>11</v>
      </c>
      <c r="D5" s="9">
        <v>18.0</v>
      </c>
      <c r="E5" s="9">
        <v>1539.0</v>
      </c>
      <c r="F5" s="9">
        <v>1404.0</v>
      </c>
    </row>
    <row r="6" ht="14.25" customHeight="1">
      <c r="A6" s="6" t="str">
        <f t="shared" si="1"/>
        <v>2020-04-28|Краснодар</v>
      </c>
      <c r="B6" s="18">
        <v>43949.0</v>
      </c>
      <c r="C6" s="9" t="s">
        <v>21</v>
      </c>
      <c r="D6" s="9">
        <v>18.0</v>
      </c>
      <c r="E6" s="9">
        <v>1505.0</v>
      </c>
      <c r="F6" s="9">
        <v>1368.0</v>
      </c>
    </row>
    <row r="7" ht="14.25" customHeight="1">
      <c r="A7" s="6" t="str">
        <f t="shared" si="1"/>
        <v>2020-04-28|Москва Восток</v>
      </c>
      <c r="B7" s="18">
        <v>43949.0</v>
      </c>
      <c r="C7" s="9" t="s">
        <v>23</v>
      </c>
      <c r="D7" s="9">
        <v>54.0</v>
      </c>
      <c r="E7" s="9">
        <v>12306.0</v>
      </c>
      <c r="F7" s="9">
        <v>11532.0</v>
      </c>
    </row>
    <row r="8" ht="14.25" customHeight="1">
      <c r="A8" s="6" t="str">
        <f t="shared" si="1"/>
        <v>2020-04-28|Москва Запад</v>
      </c>
      <c r="B8" s="18">
        <v>43949.0</v>
      </c>
      <c r="C8" s="9" t="s">
        <v>22</v>
      </c>
      <c r="D8" s="9">
        <v>59.0</v>
      </c>
      <c r="E8" s="9">
        <v>12943.0</v>
      </c>
      <c r="F8" s="9">
        <v>12072.0</v>
      </c>
    </row>
    <row r="9" ht="14.25" customHeight="1">
      <c r="A9" s="6" t="str">
        <f t="shared" si="1"/>
        <v>2020-04-28|Нижний Новгород</v>
      </c>
      <c r="B9" s="18">
        <v>43949.0</v>
      </c>
      <c r="C9" s="9" t="s">
        <v>14</v>
      </c>
      <c r="D9" s="9">
        <v>17.0</v>
      </c>
      <c r="E9" s="9">
        <v>1439.0</v>
      </c>
      <c r="F9" s="9">
        <v>1265.0</v>
      </c>
    </row>
    <row r="10" ht="14.25" customHeight="1">
      <c r="A10" s="6" t="str">
        <f t="shared" si="1"/>
        <v>2020-04-28|Новосибирск</v>
      </c>
      <c r="B10" s="18">
        <v>43949.0</v>
      </c>
      <c r="C10" s="9" t="s">
        <v>24</v>
      </c>
      <c r="D10" s="9">
        <v>15.0</v>
      </c>
      <c r="E10" s="9">
        <v>636.0</v>
      </c>
      <c r="F10" s="9">
        <v>547.0</v>
      </c>
    </row>
    <row r="11" ht="14.25" customHeight="1">
      <c r="A11" s="6" t="str">
        <f t="shared" si="1"/>
        <v>2020-04-28|Пермь</v>
      </c>
      <c r="B11" s="18">
        <v>43949.0</v>
      </c>
      <c r="C11" s="9" t="s">
        <v>19</v>
      </c>
      <c r="D11" s="9">
        <v>15.0</v>
      </c>
      <c r="E11" s="9">
        <v>780.0</v>
      </c>
      <c r="F11" s="9">
        <v>690.0</v>
      </c>
    </row>
    <row r="12" ht="14.25" customHeight="1">
      <c r="A12" s="6" t="str">
        <f t="shared" si="1"/>
        <v>2020-04-28|Санкт-Петербург Север</v>
      </c>
      <c r="B12" s="18">
        <v>43949.0</v>
      </c>
      <c r="C12" s="9" t="s">
        <v>16</v>
      </c>
      <c r="D12" s="9">
        <v>125.0</v>
      </c>
      <c r="E12" s="9">
        <v>20914.0</v>
      </c>
      <c r="F12" s="9">
        <v>19479.0</v>
      </c>
    </row>
    <row r="13" ht="14.25" customHeight="1">
      <c r="A13" s="6" t="str">
        <f t="shared" si="1"/>
        <v>2020-04-28|Санкт-Петербург Юг</v>
      </c>
      <c r="B13" s="18">
        <v>43949.0</v>
      </c>
      <c r="C13" s="9" t="s">
        <v>15</v>
      </c>
      <c r="D13" s="9">
        <v>128.0</v>
      </c>
      <c r="E13" s="9">
        <v>16450.0</v>
      </c>
      <c r="F13" s="9">
        <v>15320.0</v>
      </c>
    </row>
    <row r="14" ht="14.25" customHeight="1">
      <c r="A14" s="6" t="str">
        <f t="shared" si="1"/>
        <v>2020-04-28|Тольятти</v>
      </c>
      <c r="B14" s="18">
        <v>43949.0</v>
      </c>
      <c r="C14" s="9" t="s">
        <v>13</v>
      </c>
      <c r="D14" s="9">
        <v>10.0</v>
      </c>
      <c r="E14" s="9">
        <v>580.0</v>
      </c>
      <c r="F14" s="9">
        <v>506.0</v>
      </c>
    </row>
    <row r="15" ht="14.25" customHeight="1">
      <c r="A15" s="6" t="str">
        <f t="shared" si="1"/>
        <v>2020-04-29|Волгоград</v>
      </c>
      <c r="B15" s="18">
        <v>43950.0</v>
      </c>
      <c r="C15" s="9" t="s">
        <v>17</v>
      </c>
      <c r="D15" s="9">
        <v>36.0</v>
      </c>
      <c r="E15" s="9">
        <v>4937.0</v>
      </c>
      <c r="F15" s="9">
        <v>4561.0</v>
      </c>
    </row>
    <row r="16" ht="14.25" customHeight="1">
      <c r="A16" s="6" t="str">
        <f t="shared" si="1"/>
        <v>2020-04-29|Екатеринбург</v>
      </c>
      <c r="B16" s="18">
        <v>43950.0</v>
      </c>
      <c r="C16" s="9" t="s">
        <v>12</v>
      </c>
      <c r="D16" s="9">
        <v>31.0</v>
      </c>
      <c r="E16" s="9">
        <v>5378.0</v>
      </c>
      <c r="F16" s="9">
        <v>4985.0</v>
      </c>
    </row>
    <row r="17" ht="14.25" customHeight="1">
      <c r="A17" s="6" t="str">
        <f t="shared" si="1"/>
        <v>2020-04-29|Казань</v>
      </c>
      <c r="B17" s="18">
        <v>43950.0</v>
      </c>
      <c r="C17" s="9" t="s">
        <v>18</v>
      </c>
      <c r="D17" s="9">
        <v>19.0</v>
      </c>
      <c r="E17" s="9">
        <v>1676.0</v>
      </c>
      <c r="F17" s="9">
        <v>1516.0</v>
      </c>
    </row>
    <row r="18" ht="14.25" customHeight="1">
      <c r="A18" s="6" t="str">
        <f t="shared" si="1"/>
        <v>2020-04-29|Кемерово</v>
      </c>
      <c r="B18" s="18">
        <v>43950.0</v>
      </c>
      <c r="C18" s="9" t="s">
        <v>11</v>
      </c>
      <c r="D18" s="9">
        <v>18.0</v>
      </c>
      <c r="E18" s="9">
        <v>1684.0</v>
      </c>
      <c r="F18" s="9">
        <v>1528.0</v>
      </c>
    </row>
    <row r="19" ht="14.25" customHeight="1">
      <c r="A19" s="6" t="str">
        <f t="shared" si="1"/>
        <v>2020-04-29|Краснодар</v>
      </c>
      <c r="B19" s="18">
        <v>43950.0</v>
      </c>
      <c r="C19" s="9" t="s">
        <v>21</v>
      </c>
      <c r="D19" s="9">
        <v>18.0</v>
      </c>
      <c r="E19" s="9">
        <v>1599.0</v>
      </c>
      <c r="F19" s="9">
        <v>1450.0</v>
      </c>
    </row>
    <row r="20" ht="14.25" customHeight="1">
      <c r="A20" s="6" t="str">
        <f t="shared" si="1"/>
        <v>2020-04-29|Москва Восток</v>
      </c>
      <c r="B20" s="18">
        <v>43950.0</v>
      </c>
      <c r="C20" s="9" t="s">
        <v>23</v>
      </c>
      <c r="D20" s="9">
        <v>54.0</v>
      </c>
      <c r="E20" s="9">
        <v>12747.0</v>
      </c>
      <c r="F20" s="9">
        <v>11884.0</v>
      </c>
    </row>
    <row r="21" ht="14.25" customHeight="1">
      <c r="A21" s="6" t="str">
        <f t="shared" si="1"/>
        <v>2020-04-29|Москва Запад</v>
      </c>
      <c r="B21" s="18">
        <v>43950.0</v>
      </c>
      <c r="C21" s="9" t="s">
        <v>22</v>
      </c>
      <c r="D21" s="9">
        <v>59.0</v>
      </c>
      <c r="E21" s="9">
        <v>13186.0</v>
      </c>
      <c r="F21" s="9">
        <v>12251.0</v>
      </c>
    </row>
    <row r="22" ht="14.25" customHeight="1">
      <c r="A22" s="6" t="str">
        <f t="shared" si="1"/>
        <v>2020-04-29|Нижний Новгород</v>
      </c>
      <c r="B22" s="18">
        <v>43950.0</v>
      </c>
      <c r="C22" s="9" t="s">
        <v>14</v>
      </c>
      <c r="D22" s="9">
        <v>18.0</v>
      </c>
      <c r="E22" s="9">
        <v>1534.0</v>
      </c>
      <c r="F22" s="9">
        <v>1369.0</v>
      </c>
    </row>
    <row r="23" ht="14.25" customHeight="1">
      <c r="A23" s="6" t="str">
        <f t="shared" si="1"/>
        <v>2020-04-29|Новосибирск</v>
      </c>
      <c r="B23" s="18">
        <v>43950.0</v>
      </c>
      <c r="C23" s="9" t="s">
        <v>24</v>
      </c>
      <c r="D23" s="9">
        <v>15.0</v>
      </c>
      <c r="E23" s="9">
        <v>659.0</v>
      </c>
      <c r="F23" s="9">
        <v>575.0</v>
      </c>
    </row>
    <row r="24" ht="14.25" customHeight="1">
      <c r="A24" s="6" t="str">
        <f t="shared" si="1"/>
        <v>2020-04-29|Пермь</v>
      </c>
      <c r="B24" s="18">
        <v>43950.0</v>
      </c>
      <c r="C24" s="9" t="s">
        <v>19</v>
      </c>
      <c r="D24" s="9">
        <v>15.0</v>
      </c>
      <c r="E24" s="9">
        <v>786.0</v>
      </c>
      <c r="F24" s="9">
        <v>695.0</v>
      </c>
    </row>
    <row r="25" ht="14.25" customHeight="1">
      <c r="A25" s="6" t="str">
        <f t="shared" si="1"/>
        <v>2020-04-29|Санкт-Петербург Север</v>
      </c>
      <c r="B25" s="18">
        <v>43950.0</v>
      </c>
      <c r="C25" s="9" t="s">
        <v>16</v>
      </c>
      <c r="D25" s="9">
        <v>125.0</v>
      </c>
      <c r="E25" s="9">
        <v>21863.0</v>
      </c>
      <c r="F25" s="9">
        <v>20160.0</v>
      </c>
    </row>
    <row r="26" ht="14.25" customHeight="1">
      <c r="A26" s="6" t="str">
        <f t="shared" si="1"/>
        <v>2020-04-29|Санкт-Петербург Юг</v>
      </c>
      <c r="B26" s="18">
        <v>43950.0</v>
      </c>
      <c r="C26" s="9" t="s">
        <v>15</v>
      </c>
      <c r="D26" s="9">
        <v>128.0</v>
      </c>
      <c r="E26" s="9">
        <v>17368.0</v>
      </c>
      <c r="F26" s="9">
        <v>16077.0</v>
      </c>
    </row>
    <row r="27" ht="14.25" customHeight="1">
      <c r="A27" s="6" t="str">
        <f t="shared" si="1"/>
        <v>2020-04-29|Тольятти</v>
      </c>
      <c r="B27" s="18">
        <v>43950.0</v>
      </c>
      <c r="C27" s="9" t="s">
        <v>13</v>
      </c>
      <c r="D27" s="9">
        <v>10.0</v>
      </c>
      <c r="E27" s="9">
        <v>502.0</v>
      </c>
      <c r="F27" s="9">
        <v>433.0</v>
      </c>
    </row>
    <row r="28" ht="14.25" customHeight="1">
      <c r="A28" s="6" t="str">
        <f t="shared" si="1"/>
        <v>2020-04-30|Волгоград</v>
      </c>
      <c r="B28" s="18">
        <v>43951.0</v>
      </c>
      <c r="C28" s="9" t="s">
        <v>17</v>
      </c>
      <c r="D28" s="9">
        <v>36.0</v>
      </c>
      <c r="E28" s="9">
        <v>5143.0</v>
      </c>
      <c r="F28" s="9">
        <v>4715.0</v>
      </c>
    </row>
    <row r="29" ht="14.25" customHeight="1">
      <c r="A29" s="6" t="str">
        <f t="shared" si="1"/>
        <v>2020-04-30|Екатеринбург</v>
      </c>
      <c r="B29" s="18">
        <v>43951.0</v>
      </c>
      <c r="C29" s="9" t="s">
        <v>12</v>
      </c>
      <c r="D29" s="9">
        <v>31.0</v>
      </c>
      <c r="E29" s="9">
        <v>5120.0</v>
      </c>
      <c r="F29" s="9">
        <v>4737.0</v>
      </c>
    </row>
    <row r="30" ht="14.25" customHeight="1">
      <c r="A30" s="6" t="str">
        <f t="shared" si="1"/>
        <v>2020-04-30|Казань</v>
      </c>
      <c r="B30" s="18">
        <v>43951.0</v>
      </c>
      <c r="C30" s="9" t="s">
        <v>18</v>
      </c>
      <c r="D30" s="9">
        <v>20.0</v>
      </c>
      <c r="E30" s="9">
        <v>1756.0</v>
      </c>
      <c r="F30" s="9">
        <v>1586.0</v>
      </c>
    </row>
    <row r="31" ht="14.25" customHeight="1">
      <c r="A31" s="6" t="str">
        <f t="shared" si="1"/>
        <v>2020-04-30|Кемерово</v>
      </c>
      <c r="B31" s="18">
        <v>43951.0</v>
      </c>
      <c r="C31" s="9" t="s">
        <v>11</v>
      </c>
      <c r="D31" s="9">
        <v>19.0</v>
      </c>
      <c r="E31" s="9">
        <v>1712.0</v>
      </c>
      <c r="F31" s="9">
        <v>1552.0</v>
      </c>
    </row>
    <row r="32" ht="14.25" customHeight="1">
      <c r="A32" s="6" t="str">
        <f t="shared" si="1"/>
        <v>2020-04-30|Краснодар</v>
      </c>
      <c r="B32" s="18">
        <v>43951.0</v>
      </c>
      <c r="C32" s="9" t="s">
        <v>21</v>
      </c>
      <c r="D32" s="9">
        <v>19.0</v>
      </c>
      <c r="E32" s="9">
        <v>1662.0</v>
      </c>
      <c r="F32" s="9">
        <v>1506.0</v>
      </c>
    </row>
    <row r="33" ht="14.25" customHeight="1">
      <c r="A33" s="6" t="str">
        <f t="shared" si="1"/>
        <v>2020-04-30|Москва Восток</v>
      </c>
      <c r="B33" s="18">
        <v>43951.0</v>
      </c>
      <c r="C33" s="9" t="s">
        <v>23</v>
      </c>
      <c r="D33" s="9">
        <v>54.0</v>
      </c>
      <c r="E33" s="9">
        <v>12817.0</v>
      </c>
      <c r="F33" s="9">
        <v>11865.0</v>
      </c>
    </row>
    <row r="34" ht="14.25" customHeight="1">
      <c r="A34" s="6" t="str">
        <f t="shared" si="1"/>
        <v>2020-04-30|Москва Запад</v>
      </c>
      <c r="B34" s="18">
        <v>43951.0</v>
      </c>
      <c r="C34" s="9" t="s">
        <v>22</v>
      </c>
      <c r="D34" s="9">
        <v>59.0</v>
      </c>
      <c r="E34" s="9">
        <v>13251.0</v>
      </c>
      <c r="F34" s="9">
        <v>12255.0</v>
      </c>
    </row>
    <row r="35" ht="14.25" customHeight="1">
      <c r="A35" s="6" t="str">
        <f t="shared" si="1"/>
        <v>2020-04-30|Нижний Новгород</v>
      </c>
      <c r="B35" s="18">
        <v>43951.0</v>
      </c>
      <c r="C35" s="9" t="s">
        <v>14</v>
      </c>
      <c r="D35" s="9">
        <v>19.0</v>
      </c>
      <c r="E35" s="9">
        <v>1499.0</v>
      </c>
      <c r="F35" s="9">
        <v>1322.0</v>
      </c>
    </row>
    <row r="36" ht="14.25" customHeight="1">
      <c r="A36" s="6" t="str">
        <f t="shared" si="1"/>
        <v>2020-04-30|Новосибирск</v>
      </c>
      <c r="B36" s="18">
        <v>43951.0</v>
      </c>
      <c r="C36" s="9" t="s">
        <v>24</v>
      </c>
      <c r="D36" s="9">
        <v>15.0</v>
      </c>
      <c r="E36" s="9">
        <v>644.0</v>
      </c>
      <c r="F36" s="9">
        <v>550.0</v>
      </c>
    </row>
    <row r="37" ht="14.25" customHeight="1">
      <c r="A37" s="6" t="str">
        <f t="shared" si="1"/>
        <v>2020-04-30|Пермь</v>
      </c>
      <c r="B37" s="18">
        <v>43951.0</v>
      </c>
      <c r="C37" s="9" t="s">
        <v>19</v>
      </c>
      <c r="D37" s="9">
        <v>15.0</v>
      </c>
      <c r="E37" s="9">
        <v>791.0</v>
      </c>
      <c r="F37" s="9">
        <v>691.0</v>
      </c>
    </row>
    <row r="38" ht="14.25" customHeight="1">
      <c r="A38" s="6" t="str">
        <f t="shared" si="1"/>
        <v>2020-04-30|Ростов-на-Дону</v>
      </c>
      <c r="B38" s="18">
        <v>43951.0</v>
      </c>
      <c r="C38" s="9" t="s">
        <v>20</v>
      </c>
      <c r="D38" s="9">
        <v>15.0</v>
      </c>
      <c r="E38" s="9">
        <v>262.0</v>
      </c>
      <c r="F38" s="9">
        <v>195.0</v>
      </c>
    </row>
    <row r="39" ht="14.25" customHeight="1">
      <c r="A39" s="6" t="str">
        <f t="shared" si="1"/>
        <v>2020-04-30|Санкт-Петербург Север</v>
      </c>
      <c r="B39" s="18">
        <v>43951.0</v>
      </c>
      <c r="C39" s="9" t="s">
        <v>16</v>
      </c>
      <c r="D39" s="9">
        <v>125.0</v>
      </c>
      <c r="E39" s="9">
        <v>22368.0</v>
      </c>
      <c r="F39" s="9">
        <v>20625.0</v>
      </c>
    </row>
    <row r="40" ht="14.25" customHeight="1">
      <c r="A40" s="6" t="str">
        <f t="shared" si="1"/>
        <v>2020-04-30|Санкт-Петербург Юг</v>
      </c>
      <c r="B40" s="18">
        <v>43951.0</v>
      </c>
      <c r="C40" s="9" t="s">
        <v>15</v>
      </c>
      <c r="D40" s="9">
        <v>129.0</v>
      </c>
      <c r="E40" s="9">
        <v>18042.0</v>
      </c>
      <c r="F40" s="9">
        <v>16631.0</v>
      </c>
    </row>
    <row r="41" ht="14.25" customHeight="1">
      <c r="A41" s="6" t="str">
        <f t="shared" si="1"/>
        <v>2020-04-30|Тольятти</v>
      </c>
      <c r="B41" s="18">
        <v>43951.0</v>
      </c>
      <c r="C41" s="9" t="s">
        <v>13</v>
      </c>
      <c r="D41" s="9">
        <v>10.0</v>
      </c>
      <c r="E41" s="9">
        <v>448.0</v>
      </c>
      <c r="F41" s="9">
        <v>376.0</v>
      </c>
    </row>
    <row r="42" ht="14.25" customHeight="1">
      <c r="A42" s="6" t="str">
        <f t="shared" si="1"/>
        <v>2020-05-01|Волгоград</v>
      </c>
      <c r="B42" s="18">
        <v>43952.0</v>
      </c>
      <c r="C42" s="9" t="s">
        <v>17</v>
      </c>
      <c r="D42" s="9">
        <v>36.0</v>
      </c>
      <c r="E42" s="9">
        <v>5457.0</v>
      </c>
      <c r="F42" s="9">
        <v>4916.0</v>
      </c>
    </row>
    <row r="43" ht="14.25" customHeight="1">
      <c r="A43" s="6" t="str">
        <f t="shared" si="1"/>
        <v>2020-05-01|Екатеринбург</v>
      </c>
      <c r="B43" s="18">
        <v>43952.0</v>
      </c>
      <c r="C43" s="9" t="s">
        <v>12</v>
      </c>
      <c r="D43" s="9">
        <v>31.0</v>
      </c>
      <c r="E43" s="9">
        <v>6118.0</v>
      </c>
      <c r="F43" s="9">
        <v>5564.0</v>
      </c>
    </row>
    <row r="44" ht="14.25" customHeight="1">
      <c r="A44" s="6" t="str">
        <f t="shared" si="1"/>
        <v>2020-05-01|Казань</v>
      </c>
      <c r="B44" s="18">
        <v>43952.0</v>
      </c>
      <c r="C44" s="9" t="s">
        <v>18</v>
      </c>
      <c r="D44" s="9">
        <v>20.0</v>
      </c>
      <c r="E44" s="9">
        <v>2468.0</v>
      </c>
      <c r="F44" s="9">
        <v>2221.0</v>
      </c>
    </row>
    <row r="45" ht="14.25" customHeight="1">
      <c r="A45" s="6" t="str">
        <f t="shared" si="1"/>
        <v>2020-05-01|Кемерово</v>
      </c>
      <c r="B45" s="18">
        <v>43952.0</v>
      </c>
      <c r="C45" s="9" t="s">
        <v>11</v>
      </c>
      <c r="D45" s="9">
        <v>18.0</v>
      </c>
      <c r="E45" s="9">
        <v>1826.0</v>
      </c>
      <c r="F45" s="9">
        <v>1633.0</v>
      </c>
    </row>
    <row r="46" ht="14.25" customHeight="1">
      <c r="A46" s="6" t="str">
        <f t="shared" si="1"/>
        <v>2020-05-01|Краснодар</v>
      </c>
      <c r="B46" s="18">
        <v>43952.0</v>
      </c>
      <c r="C46" s="9" t="s">
        <v>21</v>
      </c>
      <c r="D46" s="9">
        <v>19.0</v>
      </c>
      <c r="E46" s="9">
        <v>1987.0</v>
      </c>
      <c r="F46" s="9">
        <v>1791.0</v>
      </c>
    </row>
    <row r="47" ht="14.25" customHeight="1">
      <c r="A47" s="6" t="str">
        <f t="shared" si="1"/>
        <v>2020-05-01|Москва Восток</v>
      </c>
      <c r="B47" s="18">
        <v>43952.0</v>
      </c>
      <c r="C47" s="9" t="s">
        <v>23</v>
      </c>
      <c r="D47" s="9">
        <v>54.0</v>
      </c>
      <c r="E47" s="9">
        <v>14205.0</v>
      </c>
      <c r="F47" s="9">
        <v>13026.0</v>
      </c>
    </row>
    <row r="48" ht="14.25" customHeight="1">
      <c r="A48" s="6" t="str">
        <f t="shared" si="1"/>
        <v>2020-05-01|Москва Запад</v>
      </c>
      <c r="B48" s="18">
        <v>43952.0</v>
      </c>
      <c r="C48" s="9" t="s">
        <v>22</v>
      </c>
      <c r="D48" s="9">
        <v>59.0</v>
      </c>
      <c r="E48" s="9">
        <v>15222.0</v>
      </c>
      <c r="F48" s="9">
        <v>13873.0</v>
      </c>
    </row>
    <row r="49" ht="14.25" customHeight="1">
      <c r="A49" s="6" t="str">
        <f t="shared" si="1"/>
        <v>2020-05-01|Нижний Новгород</v>
      </c>
      <c r="B49" s="18">
        <v>43952.0</v>
      </c>
      <c r="C49" s="9" t="s">
        <v>14</v>
      </c>
      <c r="D49" s="9">
        <v>19.0</v>
      </c>
      <c r="E49" s="9">
        <v>1497.0</v>
      </c>
      <c r="F49" s="9">
        <v>1291.0</v>
      </c>
    </row>
    <row r="50" ht="14.25" customHeight="1">
      <c r="A50" s="6" t="str">
        <f t="shared" si="1"/>
        <v>2020-05-01|Новосибирск</v>
      </c>
      <c r="B50" s="18">
        <v>43952.0</v>
      </c>
      <c r="C50" s="9" t="s">
        <v>24</v>
      </c>
      <c r="D50" s="9">
        <v>15.0</v>
      </c>
      <c r="E50" s="9">
        <v>721.0</v>
      </c>
      <c r="F50" s="9">
        <v>625.0</v>
      </c>
    </row>
    <row r="51" ht="14.25" customHeight="1">
      <c r="A51" s="6" t="str">
        <f t="shared" si="1"/>
        <v>2020-05-01|Пермь</v>
      </c>
      <c r="B51" s="18">
        <v>43952.0</v>
      </c>
      <c r="C51" s="9" t="s">
        <v>19</v>
      </c>
      <c r="D51" s="9">
        <v>15.0</v>
      </c>
      <c r="E51" s="9">
        <v>996.0</v>
      </c>
      <c r="F51" s="9">
        <v>888.0</v>
      </c>
    </row>
    <row r="52" ht="14.25" customHeight="1">
      <c r="A52" s="6" t="str">
        <f t="shared" si="1"/>
        <v>2020-05-01|Ростов-на-Дону</v>
      </c>
      <c r="B52" s="18">
        <v>43952.0</v>
      </c>
      <c r="C52" s="9" t="s">
        <v>20</v>
      </c>
      <c r="D52" s="9">
        <v>15.0</v>
      </c>
      <c r="E52" s="9">
        <v>294.0</v>
      </c>
      <c r="F52" s="9">
        <v>225.0</v>
      </c>
    </row>
    <row r="53" ht="14.25" customHeight="1">
      <c r="A53" s="6" t="str">
        <f t="shared" si="1"/>
        <v>2020-05-01|Санкт-Петербург Север</v>
      </c>
      <c r="B53" s="18">
        <v>43952.0</v>
      </c>
      <c r="C53" s="9" t="s">
        <v>16</v>
      </c>
      <c r="D53" s="9">
        <v>125.0</v>
      </c>
      <c r="E53" s="9">
        <v>20602.0</v>
      </c>
      <c r="F53" s="9">
        <v>18845.0</v>
      </c>
    </row>
    <row r="54" ht="14.25" customHeight="1">
      <c r="A54" s="6" t="str">
        <f t="shared" si="1"/>
        <v>2020-05-01|Санкт-Петербург Юг</v>
      </c>
      <c r="B54" s="18">
        <v>43952.0</v>
      </c>
      <c r="C54" s="9" t="s">
        <v>15</v>
      </c>
      <c r="D54" s="9">
        <v>129.0</v>
      </c>
      <c r="E54" s="9">
        <v>17002.0</v>
      </c>
      <c r="F54" s="9">
        <v>15570.0</v>
      </c>
    </row>
    <row r="55" ht="14.25" customHeight="1">
      <c r="A55" s="6" t="str">
        <f t="shared" si="1"/>
        <v>2020-05-01|Тольятти</v>
      </c>
      <c r="B55" s="18">
        <v>43952.0</v>
      </c>
      <c r="C55" s="9" t="s">
        <v>13</v>
      </c>
      <c r="D55" s="9">
        <v>10.0</v>
      </c>
      <c r="E55" s="9">
        <v>554.0</v>
      </c>
      <c r="F55" s="9">
        <v>472.0</v>
      </c>
    </row>
    <row r="56" ht="14.25" customHeight="1">
      <c r="A56" s="6" t="str">
        <f t="shared" si="1"/>
        <v>2020-05-02|Волгоград</v>
      </c>
      <c r="B56" s="18">
        <v>43953.0</v>
      </c>
      <c r="C56" s="9" t="s">
        <v>17</v>
      </c>
      <c r="D56" s="9">
        <v>36.0</v>
      </c>
      <c r="E56" s="9">
        <v>3442.0</v>
      </c>
      <c r="F56" s="9">
        <v>3147.0</v>
      </c>
    </row>
    <row r="57" ht="14.25" customHeight="1">
      <c r="A57" s="6" t="str">
        <f t="shared" si="1"/>
        <v>2020-05-02|Екатеринбург</v>
      </c>
      <c r="B57" s="18">
        <v>43953.0</v>
      </c>
      <c r="C57" s="9" t="s">
        <v>12</v>
      </c>
      <c r="D57" s="9">
        <v>31.0</v>
      </c>
      <c r="E57" s="9">
        <v>4157.0</v>
      </c>
      <c r="F57" s="9">
        <v>3823.0</v>
      </c>
    </row>
    <row r="58" ht="14.25" customHeight="1">
      <c r="A58" s="6" t="str">
        <f t="shared" si="1"/>
        <v>2020-05-02|Казань</v>
      </c>
      <c r="B58" s="18">
        <v>43953.0</v>
      </c>
      <c r="C58" s="9" t="s">
        <v>18</v>
      </c>
      <c r="D58" s="9">
        <v>20.0</v>
      </c>
      <c r="E58" s="9">
        <v>1613.0</v>
      </c>
      <c r="F58" s="9">
        <v>1457.0</v>
      </c>
    </row>
    <row r="59" ht="14.25" customHeight="1">
      <c r="A59" s="6" t="str">
        <f t="shared" si="1"/>
        <v>2020-05-02|Кемерово</v>
      </c>
      <c r="B59" s="18">
        <v>43953.0</v>
      </c>
      <c r="C59" s="9" t="s">
        <v>11</v>
      </c>
      <c r="D59" s="9">
        <v>18.0</v>
      </c>
      <c r="E59" s="9">
        <v>1708.0</v>
      </c>
      <c r="F59" s="9">
        <v>1534.0</v>
      </c>
    </row>
    <row r="60" ht="14.25" customHeight="1">
      <c r="A60" s="6" t="str">
        <f t="shared" si="1"/>
        <v>2020-05-02|Краснодар</v>
      </c>
      <c r="B60" s="18">
        <v>43953.0</v>
      </c>
      <c r="C60" s="9" t="s">
        <v>21</v>
      </c>
      <c r="D60" s="9">
        <v>19.0</v>
      </c>
      <c r="E60" s="9">
        <v>1206.0</v>
      </c>
      <c r="F60" s="9">
        <v>1080.0</v>
      </c>
    </row>
    <row r="61" ht="14.25" customHeight="1">
      <c r="A61" s="6" t="str">
        <f t="shared" si="1"/>
        <v>2020-05-02|Москва Восток</v>
      </c>
      <c r="B61" s="18">
        <v>43953.0</v>
      </c>
      <c r="C61" s="9" t="s">
        <v>23</v>
      </c>
      <c r="D61" s="9">
        <v>54.0</v>
      </c>
      <c r="E61" s="9">
        <v>11622.0</v>
      </c>
      <c r="F61" s="9">
        <v>10754.0</v>
      </c>
    </row>
    <row r="62" ht="14.25" customHeight="1">
      <c r="A62" s="6" t="str">
        <f t="shared" si="1"/>
        <v>2020-05-02|Москва Запад</v>
      </c>
      <c r="B62" s="18">
        <v>43953.0</v>
      </c>
      <c r="C62" s="9" t="s">
        <v>22</v>
      </c>
      <c r="D62" s="9">
        <v>59.0</v>
      </c>
      <c r="E62" s="9">
        <v>12429.0</v>
      </c>
      <c r="F62" s="9">
        <v>11477.0</v>
      </c>
    </row>
    <row r="63" ht="14.25" customHeight="1">
      <c r="A63" s="6" t="str">
        <f t="shared" si="1"/>
        <v>2020-05-02|Нижний Новгород</v>
      </c>
      <c r="B63" s="18">
        <v>43953.0</v>
      </c>
      <c r="C63" s="9" t="s">
        <v>14</v>
      </c>
      <c r="D63" s="9">
        <v>19.0</v>
      </c>
      <c r="E63" s="9">
        <v>1217.0</v>
      </c>
      <c r="F63" s="9">
        <v>1048.0</v>
      </c>
    </row>
    <row r="64" ht="14.25" customHeight="1">
      <c r="A64" s="6" t="str">
        <f t="shared" si="1"/>
        <v>2020-05-02|Новосибирск</v>
      </c>
      <c r="B64" s="18">
        <v>43953.0</v>
      </c>
      <c r="C64" s="9" t="s">
        <v>24</v>
      </c>
      <c r="D64" s="9">
        <v>15.0</v>
      </c>
      <c r="E64" s="9">
        <v>567.0</v>
      </c>
      <c r="F64" s="9">
        <v>493.0</v>
      </c>
    </row>
    <row r="65" ht="14.25" customHeight="1">
      <c r="A65" s="6" t="str">
        <f t="shared" si="1"/>
        <v>2020-05-02|Пермь</v>
      </c>
      <c r="B65" s="18">
        <v>43953.0</v>
      </c>
      <c r="C65" s="9" t="s">
        <v>19</v>
      </c>
      <c r="D65" s="9">
        <v>15.0</v>
      </c>
      <c r="E65" s="9">
        <v>751.0</v>
      </c>
      <c r="F65" s="9">
        <v>651.0</v>
      </c>
    </row>
    <row r="66" ht="14.25" customHeight="1">
      <c r="A66" s="6" t="str">
        <f t="shared" si="1"/>
        <v>2020-05-02|Ростов-на-Дону</v>
      </c>
      <c r="B66" s="18">
        <v>43953.0</v>
      </c>
      <c r="C66" s="9" t="s">
        <v>20</v>
      </c>
      <c r="D66" s="9">
        <v>15.0</v>
      </c>
      <c r="E66" s="9">
        <v>274.0</v>
      </c>
      <c r="F66" s="9">
        <v>203.0</v>
      </c>
    </row>
    <row r="67" ht="14.25" customHeight="1">
      <c r="A67" s="6" t="str">
        <f t="shared" si="1"/>
        <v>2020-05-02|Санкт-Петербург Север</v>
      </c>
      <c r="B67" s="18">
        <v>43953.0</v>
      </c>
      <c r="C67" s="9" t="s">
        <v>16</v>
      </c>
      <c r="D67" s="9">
        <v>125.0</v>
      </c>
      <c r="E67" s="9">
        <v>16932.0</v>
      </c>
      <c r="F67" s="9">
        <v>15601.0</v>
      </c>
    </row>
    <row r="68" ht="14.25" customHeight="1">
      <c r="A68" s="6" t="str">
        <f t="shared" si="1"/>
        <v>2020-05-02|Санкт-Петербург Юг</v>
      </c>
      <c r="B68" s="18">
        <v>43953.0</v>
      </c>
      <c r="C68" s="9" t="s">
        <v>15</v>
      </c>
      <c r="D68" s="9">
        <v>129.0</v>
      </c>
      <c r="E68" s="9">
        <v>14009.0</v>
      </c>
      <c r="F68" s="9">
        <v>12920.0</v>
      </c>
    </row>
    <row r="69" ht="14.25" customHeight="1">
      <c r="A69" s="6" t="str">
        <f t="shared" si="1"/>
        <v>2020-05-02|Тольятти</v>
      </c>
      <c r="B69" s="18">
        <v>43953.0</v>
      </c>
      <c r="C69" s="9" t="s">
        <v>13</v>
      </c>
      <c r="D69" s="9">
        <v>10.0</v>
      </c>
      <c r="E69" s="9">
        <v>416.0</v>
      </c>
      <c r="F69" s="9">
        <v>341.0</v>
      </c>
    </row>
    <row r="70" ht="14.25" customHeight="1">
      <c r="A70" s="6" t="str">
        <f t="shared" si="1"/>
        <v>2020-05-03|Волгоград</v>
      </c>
      <c r="B70" s="18">
        <v>43954.0</v>
      </c>
      <c r="C70" s="9" t="s">
        <v>17</v>
      </c>
      <c r="D70" s="9">
        <v>36.0</v>
      </c>
      <c r="E70" s="9">
        <v>4751.0</v>
      </c>
      <c r="F70" s="9">
        <v>4370.0</v>
      </c>
    </row>
    <row r="71" ht="14.25" customHeight="1">
      <c r="A71" s="6" t="str">
        <f t="shared" si="1"/>
        <v>2020-05-03|Екатеринбург</v>
      </c>
      <c r="B71" s="18">
        <v>43954.0</v>
      </c>
      <c r="C71" s="9" t="s">
        <v>12</v>
      </c>
      <c r="D71" s="9">
        <v>31.0</v>
      </c>
      <c r="E71" s="9">
        <v>5155.0</v>
      </c>
      <c r="F71" s="9">
        <v>4762.0</v>
      </c>
    </row>
    <row r="72" ht="14.25" customHeight="1">
      <c r="A72" s="6" t="str">
        <f t="shared" si="1"/>
        <v>2020-05-03|Казань</v>
      </c>
      <c r="B72" s="18">
        <v>43954.0</v>
      </c>
      <c r="C72" s="9" t="s">
        <v>18</v>
      </c>
      <c r="D72" s="9">
        <v>20.0</v>
      </c>
      <c r="E72" s="9">
        <v>1716.0</v>
      </c>
      <c r="F72" s="9">
        <v>1561.0</v>
      </c>
    </row>
    <row r="73" ht="14.25" customHeight="1">
      <c r="A73" s="6" t="str">
        <f t="shared" si="1"/>
        <v>2020-05-03|Кемерово</v>
      </c>
      <c r="B73" s="18">
        <v>43954.0</v>
      </c>
      <c r="C73" s="9" t="s">
        <v>11</v>
      </c>
      <c r="D73" s="9">
        <v>20.0</v>
      </c>
      <c r="E73" s="9">
        <v>1520.0</v>
      </c>
      <c r="F73" s="9">
        <v>1373.0</v>
      </c>
    </row>
    <row r="74" ht="14.25" customHeight="1">
      <c r="A74" s="6" t="str">
        <f t="shared" si="1"/>
        <v>2020-05-03|Краснодар</v>
      </c>
      <c r="B74" s="18">
        <v>43954.0</v>
      </c>
      <c r="C74" s="9" t="s">
        <v>21</v>
      </c>
      <c r="D74" s="9">
        <v>19.0</v>
      </c>
      <c r="E74" s="9">
        <v>1314.0</v>
      </c>
      <c r="F74" s="9">
        <v>1192.0</v>
      </c>
    </row>
    <row r="75" ht="14.25" customHeight="1">
      <c r="A75" s="6" t="str">
        <f t="shared" si="1"/>
        <v>2020-05-03|Москва Восток</v>
      </c>
      <c r="B75" s="18">
        <v>43954.0</v>
      </c>
      <c r="C75" s="9" t="s">
        <v>23</v>
      </c>
      <c r="D75" s="9">
        <v>54.0</v>
      </c>
      <c r="E75" s="9">
        <v>14823.0</v>
      </c>
      <c r="F75" s="9">
        <v>13751.0</v>
      </c>
    </row>
    <row r="76" ht="14.25" customHeight="1">
      <c r="A76" s="6" t="str">
        <f t="shared" si="1"/>
        <v>2020-05-03|Москва Запад</v>
      </c>
      <c r="B76" s="18">
        <v>43954.0</v>
      </c>
      <c r="C76" s="9" t="s">
        <v>22</v>
      </c>
      <c r="D76" s="9">
        <v>59.0</v>
      </c>
      <c r="E76" s="9">
        <v>15277.0</v>
      </c>
      <c r="F76" s="9">
        <v>14163.0</v>
      </c>
    </row>
    <row r="77" ht="14.25" customHeight="1">
      <c r="A77" s="6" t="str">
        <f t="shared" si="1"/>
        <v>2020-05-03|Нижний Новгород</v>
      </c>
      <c r="B77" s="18">
        <v>43954.0</v>
      </c>
      <c r="C77" s="9" t="s">
        <v>14</v>
      </c>
      <c r="D77" s="9">
        <v>19.0</v>
      </c>
      <c r="E77" s="9">
        <v>1402.0</v>
      </c>
      <c r="F77" s="9">
        <v>1234.0</v>
      </c>
    </row>
    <row r="78" ht="14.25" customHeight="1">
      <c r="A78" s="6" t="str">
        <f t="shared" si="1"/>
        <v>2020-05-03|Новосибирск</v>
      </c>
      <c r="B78" s="18">
        <v>43954.0</v>
      </c>
      <c r="C78" s="9" t="s">
        <v>24</v>
      </c>
      <c r="D78" s="9">
        <v>15.0</v>
      </c>
      <c r="E78" s="9">
        <v>585.0</v>
      </c>
      <c r="F78" s="9">
        <v>502.0</v>
      </c>
    </row>
    <row r="79" ht="14.25" customHeight="1">
      <c r="A79" s="6" t="str">
        <f t="shared" si="1"/>
        <v>2020-05-03|Пермь</v>
      </c>
      <c r="B79" s="18">
        <v>43954.0</v>
      </c>
      <c r="C79" s="9" t="s">
        <v>19</v>
      </c>
      <c r="D79" s="9">
        <v>15.0</v>
      </c>
      <c r="E79" s="9">
        <v>784.0</v>
      </c>
      <c r="F79" s="9">
        <v>696.0</v>
      </c>
    </row>
    <row r="80" ht="14.25" customHeight="1">
      <c r="A80" s="6" t="str">
        <f t="shared" si="1"/>
        <v>2020-05-03|Ростов-на-Дону</v>
      </c>
      <c r="B80" s="18">
        <v>43954.0</v>
      </c>
      <c r="C80" s="9" t="s">
        <v>20</v>
      </c>
      <c r="D80" s="9">
        <v>15.0</v>
      </c>
      <c r="E80" s="9">
        <v>455.0</v>
      </c>
      <c r="F80" s="9">
        <v>384.0</v>
      </c>
    </row>
    <row r="81" ht="14.25" customHeight="1">
      <c r="A81" s="6" t="str">
        <f t="shared" si="1"/>
        <v>2020-05-03|Санкт-Петербург Север</v>
      </c>
      <c r="B81" s="18">
        <v>43954.0</v>
      </c>
      <c r="C81" s="9" t="s">
        <v>16</v>
      </c>
      <c r="D81" s="9">
        <v>125.0</v>
      </c>
      <c r="E81" s="9">
        <v>18861.0</v>
      </c>
      <c r="F81" s="9">
        <v>17420.0</v>
      </c>
    </row>
    <row r="82" ht="14.25" customHeight="1">
      <c r="A82" s="6" t="str">
        <f t="shared" si="1"/>
        <v>2020-05-03|Санкт-Петербург Юг</v>
      </c>
      <c r="B82" s="18">
        <v>43954.0</v>
      </c>
      <c r="C82" s="9" t="s">
        <v>15</v>
      </c>
      <c r="D82" s="9">
        <v>129.0</v>
      </c>
      <c r="E82" s="9">
        <v>15778.0</v>
      </c>
      <c r="F82" s="9">
        <v>14624.0</v>
      </c>
    </row>
    <row r="83" ht="14.25" customHeight="1">
      <c r="A83" s="6" t="str">
        <f t="shared" si="1"/>
        <v>2020-05-03|Тольятти</v>
      </c>
      <c r="B83" s="18">
        <v>43954.0</v>
      </c>
      <c r="C83" s="9" t="s">
        <v>13</v>
      </c>
      <c r="D83" s="9">
        <v>10.0</v>
      </c>
      <c r="E83" s="9">
        <v>402.0</v>
      </c>
      <c r="F83" s="9">
        <v>333.0</v>
      </c>
    </row>
    <row r="84" ht="14.25" customHeight="1">
      <c r="A84" s="6" t="str">
        <f t="shared" si="1"/>
        <v>2020-05-04|Волгоград</v>
      </c>
      <c r="B84" s="18">
        <v>43955.0</v>
      </c>
      <c r="C84" s="9" t="s">
        <v>17</v>
      </c>
      <c r="D84" s="9">
        <v>36.0</v>
      </c>
      <c r="E84" s="9">
        <v>4508.0</v>
      </c>
      <c r="F84" s="9">
        <v>4149.0</v>
      </c>
    </row>
    <row r="85" ht="14.25" customHeight="1">
      <c r="A85" s="6" t="str">
        <f t="shared" si="1"/>
        <v>2020-05-04|Екатеринбург</v>
      </c>
      <c r="B85" s="18">
        <v>43955.0</v>
      </c>
      <c r="C85" s="9" t="s">
        <v>12</v>
      </c>
      <c r="D85" s="9">
        <v>31.0</v>
      </c>
      <c r="E85" s="9">
        <v>4968.0</v>
      </c>
      <c r="F85" s="9">
        <v>4596.0</v>
      </c>
    </row>
    <row r="86" ht="14.25" customHeight="1">
      <c r="A86" s="6" t="str">
        <f t="shared" si="1"/>
        <v>2020-05-04|Казань</v>
      </c>
      <c r="B86" s="18">
        <v>43955.0</v>
      </c>
      <c r="C86" s="9" t="s">
        <v>18</v>
      </c>
      <c r="D86" s="9">
        <v>20.0</v>
      </c>
      <c r="E86" s="9">
        <v>1804.0</v>
      </c>
      <c r="F86" s="9">
        <v>1638.0</v>
      </c>
    </row>
    <row r="87" ht="14.25" customHeight="1">
      <c r="A87" s="6" t="str">
        <f t="shared" si="1"/>
        <v>2020-05-04|Кемерово</v>
      </c>
      <c r="B87" s="18">
        <v>43955.0</v>
      </c>
      <c r="C87" s="9" t="s">
        <v>11</v>
      </c>
      <c r="D87" s="9">
        <v>20.0</v>
      </c>
      <c r="E87" s="9">
        <v>1519.0</v>
      </c>
      <c r="F87" s="9">
        <v>1372.0</v>
      </c>
    </row>
    <row r="88" ht="14.25" customHeight="1">
      <c r="A88" s="6" t="str">
        <f t="shared" si="1"/>
        <v>2020-05-04|Краснодар</v>
      </c>
      <c r="B88" s="18">
        <v>43955.0</v>
      </c>
      <c r="C88" s="9" t="s">
        <v>21</v>
      </c>
      <c r="D88" s="9">
        <v>19.0</v>
      </c>
      <c r="E88" s="9">
        <v>1479.0</v>
      </c>
      <c r="F88" s="9">
        <v>1346.0</v>
      </c>
    </row>
    <row r="89" ht="14.25" customHeight="1">
      <c r="A89" s="6" t="str">
        <f t="shared" si="1"/>
        <v>2020-05-04|Москва Восток</v>
      </c>
      <c r="B89" s="18">
        <v>43955.0</v>
      </c>
      <c r="C89" s="9" t="s">
        <v>23</v>
      </c>
      <c r="D89" s="9">
        <v>54.0</v>
      </c>
      <c r="E89" s="9">
        <v>13606.0</v>
      </c>
      <c r="F89" s="9">
        <v>12697.0</v>
      </c>
    </row>
    <row r="90" ht="14.25" customHeight="1">
      <c r="A90" s="6" t="str">
        <f t="shared" si="1"/>
        <v>2020-05-04|Москва Запад</v>
      </c>
      <c r="B90" s="18">
        <v>43955.0</v>
      </c>
      <c r="C90" s="9" t="s">
        <v>22</v>
      </c>
      <c r="D90" s="9">
        <v>59.0</v>
      </c>
      <c r="E90" s="9">
        <v>14423.0</v>
      </c>
      <c r="F90" s="9">
        <v>13432.0</v>
      </c>
    </row>
    <row r="91" ht="14.25" customHeight="1">
      <c r="A91" s="6" t="str">
        <f t="shared" si="1"/>
        <v>2020-05-04|Нижний Новгород</v>
      </c>
      <c r="B91" s="18">
        <v>43955.0</v>
      </c>
      <c r="C91" s="9" t="s">
        <v>14</v>
      </c>
      <c r="D91" s="9">
        <v>19.0</v>
      </c>
      <c r="E91" s="9">
        <v>1582.0</v>
      </c>
      <c r="F91" s="9">
        <v>1403.0</v>
      </c>
    </row>
    <row r="92" ht="14.25" customHeight="1">
      <c r="A92" s="6" t="str">
        <f t="shared" si="1"/>
        <v>2020-05-04|Новосибирск</v>
      </c>
      <c r="B92" s="18">
        <v>43955.0</v>
      </c>
      <c r="C92" s="9" t="s">
        <v>24</v>
      </c>
      <c r="D92" s="9">
        <v>15.0</v>
      </c>
      <c r="E92" s="9">
        <v>622.0</v>
      </c>
      <c r="F92" s="9">
        <v>538.0</v>
      </c>
    </row>
    <row r="93" ht="14.25" customHeight="1">
      <c r="A93" s="6" t="str">
        <f t="shared" si="1"/>
        <v>2020-05-04|Пермь</v>
      </c>
      <c r="B93" s="18">
        <v>43955.0</v>
      </c>
      <c r="C93" s="9" t="s">
        <v>19</v>
      </c>
      <c r="D93" s="9">
        <v>15.0</v>
      </c>
      <c r="E93" s="9">
        <v>750.0</v>
      </c>
      <c r="F93" s="9">
        <v>647.0</v>
      </c>
    </row>
    <row r="94" ht="14.25" customHeight="1">
      <c r="A94" s="6" t="str">
        <f t="shared" si="1"/>
        <v>2020-05-04|Ростов-на-Дону</v>
      </c>
      <c r="B94" s="18">
        <v>43955.0</v>
      </c>
      <c r="C94" s="9" t="s">
        <v>20</v>
      </c>
      <c r="D94" s="9">
        <v>15.0</v>
      </c>
      <c r="E94" s="9">
        <v>390.0</v>
      </c>
      <c r="F94" s="9">
        <v>315.0</v>
      </c>
    </row>
    <row r="95" ht="14.25" customHeight="1">
      <c r="A95" s="6" t="str">
        <f t="shared" si="1"/>
        <v>2020-05-04|Санкт-Петербург Север</v>
      </c>
      <c r="B95" s="18">
        <v>43955.0</v>
      </c>
      <c r="C95" s="9" t="s">
        <v>16</v>
      </c>
      <c r="D95" s="9">
        <v>125.0</v>
      </c>
      <c r="E95" s="9">
        <v>20495.0</v>
      </c>
      <c r="F95" s="9">
        <v>18964.0</v>
      </c>
    </row>
    <row r="96" ht="14.25" customHeight="1">
      <c r="A96" s="6" t="str">
        <f t="shared" si="1"/>
        <v>2020-05-04|Санкт-Петербург Юг</v>
      </c>
      <c r="B96" s="18">
        <v>43955.0</v>
      </c>
      <c r="C96" s="9" t="s">
        <v>15</v>
      </c>
      <c r="D96" s="9">
        <v>129.0</v>
      </c>
      <c r="E96" s="9">
        <v>16525.0</v>
      </c>
      <c r="F96" s="9">
        <v>15310.0</v>
      </c>
    </row>
    <row r="97" ht="14.25" customHeight="1">
      <c r="A97" s="6" t="str">
        <f t="shared" si="1"/>
        <v>2020-05-04|Тольятти</v>
      </c>
      <c r="B97" s="18">
        <v>43955.0</v>
      </c>
      <c r="C97" s="9" t="s">
        <v>13</v>
      </c>
      <c r="D97" s="9">
        <v>10.0</v>
      </c>
      <c r="E97" s="9">
        <v>462.0</v>
      </c>
      <c r="F97" s="9">
        <v>396.0</v>
      </c>
    </row>
    <row r="98" ht="14.25" customHeight="1">
      <c r="A98" s="6" t="str">
        <f t="shared" si="1"/>
        <v>2020-05-05|Волгоград</v>
      </c>
      <c r="B98" s="18">
        <v>43956.0</v>
      </c>
      <c r="C98" s="9" t="s">
        <v>17</v>
      </c>
      <c r="D98" s="9">
        <v>36.0</v>
      </c>
      <c r="E98" s="9">
        <v>4575.0</v>
      </c>
      <c r="F98" s="9">
        <v>4206.0</v>
      </c>
    </row>
    <row r="99" ht="14.25" customHeight="1">
      <c r="A99" s="6" t="str">
        <f t="shared" si="1"/>
        <v>2020-05-05|Екатеринбург</v>
      </c>
      <c r="B99" s="18">
        <v>43956.0</v>
      </c>
      <c r="C99" s="9" t="s">
        <v>12</v>
      </c>
      <c r="D99" s="9">
        <v>31.0</v>
      </c>
      <c r="E99" s="9">
        <v>5188.0</v>
      </c>
      <c r="F99" s="9">
        <v>4800.0</v>
      </c>
    </row>
    <row r="100" ht="14.25" customHeight="1">
      <c r="A100" s="6" t="str">
        <f t="shared" si="1"/>
        <v>2020-05-05|Казань</v>
      </c>
      <c r="B100" s="18">
        <v>43956.0</v>
      </c>
      <c r="C100" s="9" t="s">
        <v>18</v>
      </c>
      <c r="D100" s="9">
        <v>20.0</v>
      </c>
      <c r="E100" s="9">
        <v>1757.0</v>
      </c>
      <c r="F100" s="9">
        <v>1596.0</v>
      </c>
    </row>
    <row r="101" ht="14.25" customHeight="1">
      <c r="A101" s="6" t="str">
        <f t="shared" si="1"/>
        <v>2020-05-05|Кемерово</v>
      </c>
      <c r="B101" s="18">
        <v>43956.0</v>
      </c>
      <c r="C101" s="9" t="s">
        <v>11</v>
      </c>
      <c r="D101" s="9">
        <v>20.0</v>
      </c>
      <c r="E101" s="9">
        <v>1773.0</v>
      </c>
      <c r="F101" s="9">
        <v>1604.0</v>
      </c>
    </row>
    <row r="102" ht="14.25" customHeight="1">
      <c r="A102" s="6" t="str">
        <f t="shared" si="1"/>
        <v>2020-05-05|Краснодар</v>
      </c>
      <c r="B102" s="18">
        <v>43956.0</v>
      </c>
      <c r="C102" s="9" t="s">
        <v>21</v>
      </c>
      <c r="D102" s="9">
        <v>19.0</v>
      </c>
      <c r="E102" s="9">
        <v>1622.0</v>
      </c>
      <c r="F102" s="9">
        <v>1482.0</v>
      </c>
    </row>
    <row r="103" ht="14.25" customHeight="1">
      <c r="A103" s="6" t="str">
        <f t="shared" si="1"/>
        <v>2020-05-05|Москва Восток</v>
      </c>
      <c r="B103" s="18">
        <v>43956.0</v>
      </c>
      <c r="C103" s="9" t="s">
        <v>23</v>
      </c>
      <c r="D103" s="9">
        <v>54.0</v>
      </c>
      <c r="E103" s="9">
        <v>12775.0</v>
      </c>
      <c r="F103" s="9">
        <v>11887.0</v>
      </c>
    </row>
    <row r="104" ht="14.25" customHeight="1">
      <c r="A104" s="6" t="str">
        <f t="shared" si="1"/>
        <v>2020-05-05|Москва Запад</v>
      </c>
      <c r="B104" s="18">
        <v>43956.0</v>
      </c>
      <c r="C104" s="9" t="s">
        <v>22</v>
      </c>
      <c r="D104" s="9">
        <v>59.0</v>
      </c>
      <c r="E104" s="9">
        <v>13469.0</v>
      </c>
      <c r="F104" s="9">
        <v>12486.0</v>
      </c>
    </row>
    <row r="105" ht="14.25" customHeight="1">
      <c r="A105" s="6" t="str">
        <f t="shared" si="1"/>
        <v>2020-05-05|Нижний Новгород</v>
      </c>
      <c r="B105" s="18">
        <v>43956.0</v>
      </c>
      <c r="C105" s="9" t="s">
        <v>14</v>
      </c>
      <c r="D105" s="9">
        <v>19.0</v>
      </c>
      <c r="E105" s="9">
        <v>1417.0</v>
      </c>
      <c r="F105" s="9">
        <v>1245.0</v>
      </c>
    </row>
    <row r="106" ht="14.25" customHeight="1">
      <c r="A106" s="6" t="str">
        <f t="shared" si="1"/>
        <v>2020-05-05|Новосибирск</v>
      </c>
      <c r="B106" s="18">
        <v>43956.0</v>
      </c>
      <c r="C106" s="9" t="s">
        <v>24</v>
      </c>
      <c r="D106" s="9">
        <v>15.0</v>
      </c>
      <c r="E106" s="9">
        <v>750.0</v>
      </c>
      <c r="F106" s="9">
        <v>658.0</v>
      </c>
    </row>
    <row r="107" ht="14.25" customHeight="1">
      <c r="A107" s="6" t="str">
        <f t="shared" si="1"/>
        <v>2020-05-05|Пермь</v>
      </c>
      <c r="B107" s="18">
        <v>43956.0</v>
      </c>
      <c r="C107" s="9" t="s">
        <v>19</v>
      </c>
      <c r="D107" s="9">
        <v>15.0</v>
      </c>
      <c r="E107" s="9">
        <v>922.0</v>
      </c>
      <c r="F107" s="9">
        <v>823.0</v>
      </c>
    </row>
    <row r="108" ht="14.25" customHeight="1">
      <c r="A108" s="6" t="str">
        <f t="shared" si="1"/>
        <v>2020-05-05|Ростов-на-Дону</v>
      </c>
      <c r="B108" s="18">
        <v>43956.0</v>
      </c>
      <c r="C108" s="9" t="s">
        <v>20</v>
      </c>
      <c r="D108" s="9">
        <v>15.0</v>
      </c>
      <c r="E108" s="9">
        <v>455.0</v>
      </c>
      <c r="F108" s="9">
        <v>381.0</v>
      </c>
    </row>
    <row r="109" ht="14.25" customHeight="1">
      <c r="A109" s="6" t="str">
        <f t="shared" si="1"/>
        <v>2020-05-05|Санкт-Петербург Север</v>
      </c>
      <c r="B109" s="18">
        <v>43956.0</v>
      </c>
      <c r="C109" s="9" t="s">
        <v>16</v>
      </c>
      <c r="D109" s="9">
        <v>125.0</v>
      </c>
      <c r="E109" s="9">
        <v>18944.0</v>
      </c>
      <c r="F109" s="9">
        <v>17541.0</v>
      </c>
    </row>
    <row r="110" ht="14.25" customHeight="1">
      <c r="A110" s="6" t="str">
        <f t="shared" si="1"/>
        <v>2020-05-05|Санкт-Петербург Юг</v>
      </c>
      <c r="B110" s="18">
        <v>43956.0</v>
      </c>
      <c r="C110" s="9" t="s">
        <v>15</v>
      </c>
      <c r="D110" s="9">
        <v>129.0</v>
      </c>
      <c r="E110" s="9">
        <v>15665.0</v>
      </c>
      <c r="F110" s="9">
        <v>14501.0</v>
      </c>
    </row>
    <row r="111" ht="14.25" customHeight="1">
      <c r="A111" s="6" t="str">
        <f t="shared" si="1"/>
        <v>2020-05-05|Тольятти</v>
      </c>
      <c r="B111" s="18">
        <v>43956.0</v>
      </c>
      <c r="C111" s="9" t="s">
        <v>13</v>
      </c>
      <c r="D111" s="9">
        <v>10.0</v>
      </c>
      <c r="E111" s="9">
        <v>511.0</v>
      </c>
      <c r="F111" s="9">
        <v>437.0</v>
      </c>
    </row>
    <row r="112" ht="14.25" customHeight="1">
      <c r="A112" s="6" t="str">
        <f t="shared" si="1"/>
        <v>2020-05-06|Волгоград</v>
      </c>
      <c r="B112" s="18">
        <v>43957.0</v>
      </c>
      <c r="C112" s="9" t="s">
        <v>17</v>
      </c>
      <c r="D112" s="9">
        <v>36.0</v>
      </c>
      <c r="E112" s="9">
        <v>4384.0</v>
      </c>
      <c r="F112" s="9">
        <v>4025.0</v>
      </c>
    </row>
    <row r="113" ht="14.25" customHeight="1">
      <c r="A113" s="6" t="str">
        <f t="shared" si="1"/>
        <v>2020-05-06|Екатеринбург</v>
      </c>
      <c r="B113" s="18">
        <v>43957.0</v>
      </c>
      <c r="C113" s="9" t="s">
        <v>12</v>
      </c>
      <c r="D113" s="9">
        <v>31.0</v>
      </c>
      <c r="E113" s="9">
        <v>4709.0</v>
      </c>
      <c r="F113" s="9">
        <v>4348.0</v>
      </c>
    </row>
    <row r="114" ht="14.25" customHeight="1">
      <c r="A114" s="6" t="str">
        <f t="shared" si="1"/>
        <v>2020-05-06|Казань</v>
      </c>
      <c r="B114" s="18">
        <v>43957.0</v>
      </c>
      <c r="C114" s="9" t="s">
        <v>18</v>
      </c>
      <c r="D114" s="9">
        <v>20.0</v>
      </c>
      <c r="E114" s="9">
        <v>1747.0</v>
      </c>
      <c r="F114" s="9">
        <v>1570.0</v>
      </c>
    </row>
    <row r="115" ht="14.25" customHeight="1">
      <c r="A115" s="6" t="str">
        <f t="shared" si="1"/>
        <v>2020-05-06|Кемерово</v>
      </c>
      <c r="B115" s="18">
        <v>43957.0</v>
      </c>
      <c r="C115" s="9" t="s">
        <v>11</v>
      </c>
      <c r="D115" s="9">
        <v>20.0</v>
      </c>
      <c r="E115" s="9">
        <v>1784.0</v>
      </c>
      <c r="F115" s="9">
        <v>1632.0</v>
      </c>
    </row>
    <row r="116" ht="14.25" customHeight="1">
      <c r="A116" s="6" t="str">
        <f t="shared" si="1"/>
        <v>2020-05-06|Краснодар</v>
      </c>
      <c r="B116" s="18">
        <v>43957.0</v>
      </c>
      <c r="C116" s="9" t="s">
        <v>21</v>
      </c>
      <c r="D116" s="9">
        <v>19.0</v>
      </c>
      <c r="E116" s="9">
        <v>1509.0</v>
      </c>
      <c r="F116" s="9">
        <v>1374.0</v>
      </c>
    </row>
    <row r="117" ht="14.25" customHeight="1">
      <c r="A117" s="6" t="str">
        <f t="shared" si="1"/>
        <v>2020-05-06|Москва Восток</v>
      </c>
      <c r="B117" s="18">
        <v>43957.0</v>
      </c>
      <c r="C117" s="9" t="s">
        <v>23</v>
      </c>
      <c r="D117" s="9">
        <v>54.0</v>
      </c>
      <c r="E117" s="9">
        <v>13406.0</v>
      </c>
      <c r="F117" s="9">
        <v>12518.0</v>
      </c>
    </row>
    <row r="118" ht="14.25" customHeight="1">
      <c r="A118" s="6" t="str">
        <f t="shared" si="1"/>
        <v>2020-05-06|Москва Запад</v>
      </c>
      <c r="B118" s="18">
        <v>43957.0</v>
      </c>
      <c r="C118" s="9" t="s">
        <v>22</v>
      </c>
      <c r="D118" s="9">
        <v>59.0</v>
      </c>
      <c r="E118" s="9">
        <v>14103.0</v>
      </c>
      <c r="F118" s="9">
        <v>13118.0</v>
      </c>
    </row>
    <row r="119" ht="14.25" customHeight="1">
      <c r="A119" s="6" t="str">
        <f t="shared" si="1"/>
        <v>2020-05-06|Нижний Новгород</v>
      </c>
      <c r="B119" s="18">
        <v>43957.0</v>
      </c>
      <c r="C119" s="9" t="s">
        <v>14</v>
      </c>
      <c r="D119" s="9">
        <v>19.0</v>
      </c>
      <c r="E119" s="9">
        <v>1499.0</v>
      </c>
      <c r="F119" s="9">
        <v>1323.0</v>
      </c>
    </row>
    <row r="120" ht="14.25" customHeight="1">
      <c r="A120" s="6" t="str">
        <f t="shared" si="1"/>
        <v>2020-05-06|Новосибирск</v>
      </c>
      <c r="B120" s="18">
        <v>43957.0</v>
      </c>
      <c r="C120" s="9" t="s">
        <v>24</v>
      </c>
      <c r="D120" s="9">
        <v>15.0</v>
      </c>
      <c r="E120" s="9">
        <v>701.0</v>
      </c>
      <c r="F120" s="9">
        <v>611.0</v>
      </c>
    </row>
    <row r="121" ht="14.25" customHeight="1">
      <c r="A121" s="6" t="str">
        <f t="shared" si="1"/>
        <v>2020-05-06|Пермь</v>
      </c>
      <c r="B121" s="18">
        <v>43957.0</v>
      </c>
      <c r="C121" s="9" t="s">
        <v>19</v>
      </c>
      <c r="D121" s="9">
        <v>15.0</v>
      </c>
      <c r="E121" s="9">
        <v>839.0</v>
      </c>
      <c r="F121" s="9">
        <v>733.0</v>
      </c>
    </row>
    <row r="122" ht="14.25" customHeight="1">
      <c r="A122" s="6" t="str">
        <f t="shared" si="1"/>
        <v>2020-05-06|Ростов-на-Дону</v>
      </c>
      <c r="B122" s="18">
        <v>43957.0</v>
      </c>
      <c r="C122" s="9" t="s">
        <v>20</v>
      </c>
      <c r="D122" s="9">
        <v>15.0</v>
      </c>
      <c r="E122" s="9">
        <v>467.0</v>
      </c>
      <c r="F122" s="9">
        <v>389.0</v>
      </c>
    </row>
    <row r="123" ht="14.25" customHeight="1">
      <c r="A123" s="6" t="str">
        <f t="shared" si="1"/>
        <v>2020-05-06|Санкт-Петербург Север</v>
      </c>
      <c r="B123" s="18">
        <v>43957.0</v>
      </c>
      <c r="C123" s="9" t="s">
        <v>16</v>
      </c>
      <c r="D123" s="9">
        <v>125.0</v>
      </c>
      <c r="E123" s="9">
        <v>20218.0</v>
      </c>
      <c r="F123" s="9">
        <v>18647.0</v>
      </c>
    </row>
    <row r="124" ht="14.25" customHeight="1">
      <c r="A124" s="6" t="str">
        <f t="shared" si="1"/>
        <v>2020-05-06|Санкт-Петербург Юг</v>
      </c>
      <c r="B124" s="18">
        <v>43957.0</v>
      </c>
      <c r="C124" s="9" t="s">
        <v>15</v>
      </c>
      <c r="D124" s="9">
        <v>129.0</v>
      </c>
      <c r="E124" s="9">
        <v>16376.0</v>
      </c>
      <c r="F124" s="9">
        <v>15197.0</v>
      </c>
    </row>
    <row r="125" ht="14.25" customHeight="1">
      <c r="A125" s="6" t="str">
        <f t="shared" si="1"/>
        <v>2020-05-06|Тольятти</v>
      </c>
      <c r="B125" s="18">
        <v>43957.0</v>
      </c>
      <c r="C125" s="9" t="s">
        <v>13</v>
      </c>
      <c r="D125" s="9">
        <v>10.0</v>
      </c>
      <c r="E125" s="9">
        <v>465.0</v>
      </c>
      <c r="F125" s="9">
        <v>390.0</v>
      </c>
    </row>
    <row r="126" ht="14.25" customHeight="1">
      <c r="A126" s="6" t="str">
        <f t="shared" si="1"/>
        <v>2020-05-07|Волгоград</v>
      </c>
      <c r="B126" s="18">
        <v>43958.0</v>
      </c>
      <c r="C126" s="9" t="s">
        <v>17</v>
      </c>
      <c r="D126" s="9">
        <v>36.0</v>
      </c>
      <c r="E126" s="9">
        <v>4826.0</v>
      </c>
      <c r="F126" s="9">
        <v>4426.0</v>
      </c>
    </row>
    <row r="127" ht="14.25" customHeight="1">
      <c r="A127" s="6" t="str">
        <f t="shared" si="1"/>
        <v>2020-05-07|Екатеринбург</v>
      </c>
      <c r="B127" s="18">
        <v>43958.0</v>
      </c>
      <c r="C127" s="9" t="s">
        <v>12</v>
      </c>
      <c r="D127" s="9">
        <v>31.0</v>
      </c>
      <c r="E127" s="9">
        <v>4903.0</v>
      </c>
      <c r="F127" s="9">
        <v>4527.0</v>
      </c>
    </row>
    <row r="128" ht="14.25" customHeight="1">
      <c r="A128" s="6" t="str">
        <f t="shared" si="1"/>
        <v>2020-05-07|Казань</v>
      </c>
      <c r="B128" s="18">
        <v>43958.0</v>
      </c>
      <c r="C128" s="9" t="s">
        <v>18</v>
      </c>
      <c r="D128" s="9">
        <v>21.0</v>
      </c>
      <c r="E128" s="9">
        <v>1879.0</v>
      </c>
      <c r="F128" s="9">
        <v>1695.0</v>
      </c>
    </row>
    <row r="129" ht="14.25" customHeight="1">
      <c r="A129" s="6" t="str">
        <f t="shared" si="1"/>
        <v>2020-05-07|Кемерово</v>
      </c>
      <c r="B129" s="18">
        <v>43958.0</v>
      </c>
      <c r="C129" s="9" t="s">
        <v>11</v>
      </c>
      <c r="D129" s="9">
        <v>21.0</v>
      </c>
      <c r="E129" s="9">
        <v>1542.0</v>
      </c>
      <c r="F129" s="9">
        <v>1405.0</v>
      </c>
    </row>
    <row r="130" ht="14.25" customHeight="1">
      <c r="A130" s="6" t="str">
        <f t="shared" si="1"/>
        <v>2020-05-07|Краснодар</v>
      </c>
      <c r="B130" s="18">
        <v>43958.0</v>
      </c>
      <c r="C130" s="9" t="s">
        <v>21</v>
      </c>
      <c r="D130" s="9">
        <v>19.0</v>
      </c>
      <c r="E130" s="9">
        <v>1580.0</v>
      </c>
      <c r="F130" s="9">
        <v>1435.0</v>
      </c>
    </row>
    <row r="131" ht="14.25" customHeight="1">
      <c r="A131" s="6" t="str">
        <f t="shared" si="1"/>
        <v>2020-05-07|Москва Восток</v>
      </c>
      <c r="B131" s="18">
        <v>43958.0</v>
      </c>
      <c r="C131" s="9" t="s">
        <v>23</v>
      </c>
      <c r="D131" s="9">
        <v>54.0</v>
      </c>
      <c r="E131" s="9">
        <v>12743.0</v>
      </c>
      <c r="F131" s="9">
        <v>11858.0</v>
      </c>
    </row>
    <row r="132" ht="14.25" customHeight="1">
      <c r="A132" s="6" t="str">
        <f t="shared" si="1"/>
        <v>2020-05-07|Москва Запад</v>
      </c>
      <c r="B132" s="18">
        <v>43958.0</v>
      </c>
      <c r="C132" s="9" t="s">
        <v>22</v>
      </c>
      <c r="D132" s="9">
        <v>59.0</v>
      </c>
      <c r="E132" s="9">
        <v>13495.0</v>
      </c>
      <c r="F132" s="9">
        <v>12517.0</v>
      </c>
    </row>
    <row r="133" ht="14.25" customHeight="1">
      <c r="A133" s="6" t="str">
        <f t="shared" si="1"/>
        <v>2020-05-07|Нижний Новгород</v>
      </c>
      <c r="B133" s="18">
        <v>43958.0</v>
      </c>
      <c r="C133" s="9" t="s">
        <v>14</v>
      </c>
      <c r="D133" s="9">
        <v>19.0</v>
      </c>
      <c r="E133" s="9">
        <v>1530.0</v>
      </c>
      <c r="F133" s="9">
        <v>1338.0</v>
      </c>
    </row>
    <row r="134" ht="14.25" customHeight="1">
      <c r="A134" s="6" t="str">
        <f t="shared" si="1"/>
        <v>2020-05-07|Новосибирск</v>
      </c>
      <c r="B134" s="18">
        <v>43958.0</v>
      </c>
      <c r="C134" s="9" t="s">
        <v>24</v>
      </c>
      <c r="D134" s="9">
        <v>15.0</v>
      </c>
      <c r="E134" s="9">
        <v>676.0</v>
      </c>
      <c r="F134" s="9">
        <v>591.0</v>
      </c>
    </row>
    <row r="135" ht="14.25" customHeight="1">
      <c r="A135" s="6" t="str">
        <f t="shared" si="1"/>
        <v>2020-05-07|Пермь</v>
      </c>
      <c r="B135" s="18">
        <v>43958.0</v>
      </c>
      <c r="C135" s="9" t="s">
        <v>19</v>
      </c>
      <c r="D135" s="9">
        <v>15.0</v>
      </c>
      <c r="E135" s="9">
        <v>805.0</v>
      </c>
      <c r="F135" s="9">
        <v>703.0</v>
      </c>
    </row>
    <row r="136" ht="14.25" customHeight="1">
      <c r="A136" s="6" t="str">
        <f t="shared" si="1"/>
        <v>2020-05-07|Ростов-на-Дону</v>
      </c>
      <c r="B136" s="18">
        <v>43958.0</v>
      </c>
      <c r="C136" s="9" t="s">
        <v>20</v>
      </c>
      <c r="D136" s="9">
        <v>15.0</v>
      </c>
      <c r="E136" s="9">
        <v>480.0</v>
      </c>
      <c r="F136" s="9">
        <v>398.0</v>
      </c>
    </row>
    <row r="137" ht="14.25" customHeight="1">
      <c r="A137" s="6" t="str">
        <f t="shared" si="1"/>
        <v>2020-05-07|Санкт-Петербург Север</v>
      </c>
      <c r="B137" s="18">
        <v>43958.0</v>
      </c>
      <c r="C137" s="9" t="s">
        <v>16</v>
      </c>
      <c r="D137" s="9">
        <v>125.0</v>
      </c>
      <c r="E137" s="9">
        <v>18014.0</v>
      </c>
      <c r="F137" s="9">
        <v>16675.0</v>
      </c>
    </row>
    <row r="138" ht="14.25" customHeight="1">
      <c r="A138" s="6" t="str">
        <f t="shared" si="1"/>
        <v>2020-05-07|Санкт-Петербург Юг</v>
      </c>
      <c r="B138" s="18">
        <v>43958.0</v>
      </c>
      <c r="C138" s="9" t="s">
        <v>15</v>
      </c>
      <c r="D138" s="9">
        <v>129.0</v>
      </c>
      <c r="E138" s="9">
        <v>14582.0</v>
      </c>
      <c r="F138" s="9">
        <v>13512.0</v>
      </c>
    </row>
    <row r="139" ht="14.25" customHeight="1">
      <c r="A139" s="6" t="str">
        <f t="shared" si="1"/>
        <v>2020-05-07|Тольятти</v>
      </c>
      <c r="B139" s="18">
        <v>43958.0</v>
      </c>
      <c r="C139" s="9" t="s">
        <v>13</v>
      </c>
      <c r="D139" s="9">
        <v>10.0</v>
      </c>
      <c r="E139" s="9">
        <v>563.0</v>
      </c>
      <c r="F139" s="9">
        <v>486.0</v>
      </c>
    </row>
    <row r="140" ht="14.25" customHeight="1">
      <c r="A140" s="6" t="str">
        <f t="shared" si="1"/>
        <v>2020-05-08|Волгоград</v>
      </c>
      <c r="B140" s="18">
        <v>43959.0</v>
      </c>
      <c r="C140" s="9" t="s">
        <v>17</v>
      </c>
      <c r="D140" s="9">
        <v>36.0</v>
      </c>
      <c r="E140" s="9">
        <v>4199.0</v>
      </c>
      <c r="F140" s="9">
        <v>3867.0</v>
      </c>
    </row>
    <row r="141" ht="14.25" customHeight="1">
      <c r="A141" s="6" t="str">
        <f t="shared" si="1"/>
        <v>2020-05-08|Екатеринбург</v>
      </c>
      <c r="B141" s="18">
        <v>43959.0</v>
      </c>
      <c r="C141" s="9" t="s">
        <v>12</v>
      </c>
      <c r="D141" s="9">
        <v>31.0</v>
      </c>
      <c r="E141" s="9">
        <v>4635.0</v>
      </c>
      <c r="F141" s="9">
        <v>4266.0</v>
      </c>
    </row>
    <row r="142" ht="14.25" customHeight="1">
      <c r="A142" s="6" t="str">
        <f t="shared" si="1"/>
        <v>2020-05-08|Казань</v>
      </c>
      <c r="B142" s="18">
        <v>43959.0</v>
      </c>
      <c r="C142" s="9" t="s">
        <v>18</v>
      </c>
      <c r="D142" s="9">
        <v>21.0</v>
      </c>
      <c r="E142" s="9">
        <v>1957.0</v>
      </c>
      <c r="F142" s="9">
        <v>1755.0</v>
      </c>
    </row>
    <row r="143" ht="14.25" customHeight="1">
      <c r="A143" s="6" t="str">
        <f t="shared" si="1"/>
        <v>2020-05-08|Кемерово</v>
      </c>
      <c r="B143" s="18">
        <v>43959.0</v>
      </c>
      <c r="C143" s="9" t="s">
        <v>11</v>
      </c>
      <c r="D143" s="9">
        <v>21.0</v>
      </c>
      <c r="E143" s="9">
        <v>1646.0</v>
      </c>
      <c r="F143" s="9">
        <v>1492.0</v>
      </c>
    </row>
    <row r="144" ht="14.25" customHeight="1">
      <c r="A144" s="6" t="str">
        <f t="shared" si="1"/>
        <v>2020-05-08|Краснодар</v>
      </c>
      <c r="B144" s="18">
        <v>43959.0</v>
      </c>
      <c r="C144" s="9" t="s">
        <v>21</v>
      </c>
      <c r="D144" s="9">
        <v>19.0</v>
      </c>
      <c r="E144" s="9">
        <v>1520.0</v>
      </c>
      <c r="F144" s="9">
        <v>1380.0</v>
      </c>
    </row>
    <row r="145" ht="14.25" customHeight="1">
      <c r="A145" s="6" t="str">
        <f t="shared" si="1"/>
        <v>2020-05-08|Москва Восток</v>
      </c>
      <c r="B145" s="18">
        <v>43959.0</v>
      </c>
      <c r="C145" s="9" t="s">
        <v>23</v>
      </c>
      <c r="D145" s="9">
        <v>54.0</v>
      </c>
      <c r="E145" s="9">
        <v>13563.0</v>
      </c>
      <c r="F145" s="9">
        <v>12604.0</v>
      </c>
    </row>
    <row r="146" ht="14.25" customHeight="1">
      <c r="A146" s="6" t="str">
        <f t="shared" si="1"/>
        <v>2020-05-08|Москва Запад</v>
      </c>
      <c r="B146" s="18">
        <v>43959.0</v>
      </c>
      <c r="C146" s="9" t="s">
        <v>22</v>
      </c>
      <c r="D146" s="9">
        <v>59.0</v>
      </c>
      <c r="E146" s="9">
        <v>14098.0</v>
      </c>
      <c r="F146" s="9">
        <v>13106.0</v>
      </c>
    </row>
    <row r="147" ht="14.25" customHeight="1">
      <c r="A147" s="6" t="str">
        <f t="shared" si="1"/>
        <v>2020-05-08|Нижний Новгород</v>
      </c>
      <c r="B147" s="18">
        <v>43959.0</v>
      </c>
      <c r="C147" s="9" t="s">
        <v>14</v>
      </c>
      <c r="D147" s="9">
        <v>19.0</v>
      </c>
      <c r="E147" s="9">
        <v>1522.0</v>
      </c>
      <c r="F147" s="9">
        <v>1340.0</v>
      </c>
    </row>
    <row r="148" ht="14.25" customHeight="1">
      <c r="A148" s="6" t="str">
        <f t="shared" si="1"/>
        <v>2020-05-08|Новосибирск</v>
      </c>
      <c r="B148" s="18">
        <v>43959.0</v>
      </c>
      <c r="C148" s="9" t="s">
        <v>24</v>
      </c>
      <c r="D148" s="9">
        <v>15.0</v>
      </c>
      <c r="E148" s="9">
        <v>703.0</v>
      </c>
      <c r="F148" s="9">
        <v>609.0</v>
      </c>
    </row>
    <row r="149" ht="14.25" customHeight="1">
      <c r="A149" s="6" t="str">
        <f t="shared" si="1"/>
        <v>2020-05-08|Пермь</v>
      </c>
      <c r="B149" s="18">
        <v>43959.0</v>
      </c>
      <c r="C149" s="9" t="s">
        <v>19</v>
      </c>
      <c r="D149" s="9">
        <v>15.0</v>
      </c>
      <c r="E149" s="9">
        <v>879.0</v>
      </c>
      <c r="F149" s="9">
        <v>768.0</v>
      </c>
    </row>
    <row r="150" ht="14.25" customHeight="1">
      <c r="A150" s="6" t="str">
        <f t="shared" si="1"/>
        <v>2020-05-08|Ростов-на-Дону</v>
      </c>
      <c r="B150" s="18">
        <v>43959.0</v>
      </c>
      <c r="C150" s="9" t="s">
        <v>20</v>
      </c>
      <c r="D150" s="9">
        <v>15.0</v>
      </c>
      <c r="E150" s="9">
        <v>492.0</v>
      </c>
      <c r="F150" s="9">
        <v>412.0</v>
      </c>
    </row>
    <row r="151" ht="14.25" customHeight="1">
      <c r="A151" s="6" t="str">
        <f t="shared" si="1"/>
        <v>2020-05-08|Санкт-Петербург Север</v>
      </c>
      <c r="B151" s="18">
        <v>43959.0</v>
      </c>
      <c r="C151" s="9" t="s">
        <v>16</v>
      </c>
      <c r="D151" s="9">
        <v>125.0</v>
      </c>
      <c r="E151" s="9">
        <v>24620.0</v>
      </c>
      <c r="F151" s="9">
        <v>22641.0</v>
      </c>
    </row>
    <row r="152" ht="14.25" customHeight="1">
      <c r="A152" s="6" t="str">
        <f t="shared" si="1"/>
        <v>2020-05-08|Санкт-Петербург Юг</v>
      </c>
      <c r="B152" s="18">
        <v>43959.0</v>
      </c>
      <c r="C152" s="9" t="s">
        <v>15</v>
      </c>
      <c r="D152" s="9">
        <v>129.0</v>
      </c>
      <c r="E152" s="9">
        <v>20452.0</v>
      </c>
      <c r="F152" s="9">
        <v>18857.0</v>
      </c>
    </row>
    <row r="153" ht="14.25" customHeight="1">
      <c r="A153" s="6" t="str">
        <f t="shared" si="1"/>
        <v>2020-05-08|Тольятти</v>
      </c>
      <c r="B153" s="18">
        <v>43959.0</v>
      </c>
      <c r="C153" s="9" t="s">
        <v>13</v>
      </c>
      <c r="D153" s="9">
        <v>10.0</v>
      </c>
      <c r="E153" s="9">
        <v>638.0</v>
      </c>
      <c r="F153" s="9">
        <v>547.0</v>
      </c>
    </row>
    <row r="154" ht="14.25" customHeight="1">
      <c r="A154" s="6" t="str">
        <f t="shared" si="1"/>
        <v>2020-05-09|Волгоград</v>
      </c>
      <c r="B154" s="18">
        <v>43960.0</v>
      </c>
      <c r="C154" s="9" t="s">
        <v>17</v>
      </c>
      <c r="D154" s="9">
        <v>36.0</v>
      </c>
      <c r="E154" s="9">
        <v>5413.0</v>
      </c>
      <c r="F154" s="9">
        <v>4959.0</v>
      </c>
    </row>
    <row r="155" ht="14.25" customHeight="1">
      <c r="A155" s="6" t="str">
        <f t="shared" si="1"/>
        <v>2020-05-09|Екатеринбург</v>
      </c>
      <c r="B155" s="18">
        <v>43960.0</v>
      </c>
      <c r="C155" s="9" t="s">
        <v>12</v>
      </c>
      <c r="D155" s="9">
        <v>31.0</v>
      </c>
      <c r="E155" s="9">
        <v>4556.0</v>
      </c>
      <c r="F155" s="9">
        <v>4220.0</v>
      </c>
    </row>
    <row r="156" ht="14.25" customHeight="1">
      <c r="A156" s="6" t="str">
        <f t="shared" si="1"/>
        <v>2020-05-09|Казань</v>
      </c>
      <c r="B156" s="18">
        <v>43960.0</v>
      </c>
      <c r="C156" s="9" t="s">
        <v>18</v>
      </c>
      <c r="D156" s="9">
        <v>21.0</v>
      </c>
      <c r="E156" s="9">
        <v>1891.0</v>
      </c>
      <c r="F156" s="9">
        <v>1709.0</v>
      </c>
    </row>
    <row r="157" ht="14.25" customHeight="1">
      <c r="A157" s="6" t="str">
        <f t="shared" si="1"/>
        <v>2020-05-09|Кемерово</v>
      </c>
      <c r="B157" s="18">
        <v>43960.0</v>
      </c>
      <c r="C157" s="9" t="s">
        <v>11</v>
      </c>
      <c r="D157" s="9">
        <v>21.0</v>
      </c>
      <c r="E157" s="9">
        <v>1735.0</v>
      </c>
      <c r="F157" s="9">
        <v>1568.0</v>
      </c>
    </row>
    <row r="158" ht="14.25" customHeight="1">
      <c r="A158" s="6" t="str">
        <f t="shared" si="1"/>
        <v>2020-05-09|Краснодар</v>
      </c>
      <c r="B158" s="18">
        <v>43960.0</v>
      </c>
      <c r="C158" s="9" t="s">
        <v>21</v>
      </c>
      <c r="D158" s="9">
        <v>19.0</v>
      </c>
      <c r="E158" s="9">
        <v>1542.0</v>
      </c>
      <c r="F158" s="9">
        <v>1412.0</v>
      </c>
    </row>
    <row r="159" ht="14.25" customHeight="1">
      <c r="A159" s="6" t="str">
        <f t="shared" si="1"/>
        <v>2020-05-09|Москва Восток</v>
      </c>
      <c r="B159" s="18">
        <v>43960.0</v>
      </c>
      <c r="C159" s="9" t="s">
        <v>23</v>
      </c>
      <c r="D159" s="9">
        <v>54.0</v>
      </c>
      <c r="E159" s="9">
        <v>11288.0</v>
      </c>
      <c r="F159" s="9">
        <v>10492.0</v>
      </c>
    </row>
    <row r="160" ht="14.25" customHeight="1">
      <c r="A160" s="6" t="str">
        <f t="shared" si="1"/>
        <v>2020-05-09|Москва Запад</v>
      </c>
      <c r="B160" s="18">
        <v>43960.0</v>
      </c>
      <c r="C160" s="9" t="s">
        <v>22</v>
      </c>
      <c r="D160" s="9">
        <v>59.0</v>
      </c>
      <c r="E160" s="9">
        <v>12016.0</v>
      </c>
      <c r="F160" s="9">
        <v>11137.0</v>
      </c>
    </row>
    <row r="161" ht="14.25" customHeight="1">
      <c r="A161" s="6" t="str">
        <f t="shared" si="1"/>
        <v>2020-05-09|Нижний Новгород</v>
      </c>
      <c r="B161" s="18">
        <v>43960.0</v>
      </c>
      <c r="C161" s="9" t="s">
        <v>14</v>
      </c>
      <c r="D161" s="9">
        <v>19.0</v>
      </c>
      <c r="E161" s="9">
        <v>1851.0</v>
      </c>
      <c r="F161" s="9">
        <v>1635.0</v>
      </c>
    </row>
    <row r="162" ht="14.25" customHeight="1">
      <c r="A162" s="6" t="str">
        <f t="shared" si="1"/>
        <v>2020-05-09|Новосибирск</v>
      </c>
      <c r="B162" s="18">
        <v>43960.0</v>
      </c>
      <c r="C162" s="9" t="s">
        <v>24</v>
      </c>
      <c r="D162" s="9">
        <v>15.0</v>
      </c>
      <c r="E162" s="9">
        <v>654.0</v>
      </c>
      <c r="F162" s="9">
        <v>570.0</v>
      </c>
    </row>
    <row r="163" ht="14.25" customHeight="1">
      <c r="A163" s="6" t="str">
        <f t="shared" si="1"/>
        <v>2020-05-09|Пермь</v>
      </c>
      <c r="B163" s="18">
        <v>43960.0</v>
      </c>
      <c r="C163" s="9" t="s">
        <v>19</v>
      </c>
      <c r="D163" s="9">
        <v>15.0</v>
      </c>
      <c r="E163" s="9">
        <v>849.0</v>
      </c>
      <c r="F163" s="9">
        <v>740.0</v>
      </c>
    </row>
    <row r="164" ht="14.25" customHeight="1">
      <c r="A164" s="6" t="str">
        <f t="shared" si="1"/>
        <v>2020-05-09|Ростов-на-Дону</v>
      </c>
      <c r="B164" s="18">
        <v>43960.0</v>
      </c>
      <c r="C164" s="9" t="s">
        <v>20</v>
      </c>
      <c r="D164" s="9">
        <v>15.0</v>
      </c>
      <c r="E164" s="9">
        <v>623.0</v>
      </c>
      <c r="F164" s="9">
        <v>535.0</v>
      </c>
    </row>
    <row r="165" ht="14.25" customHeight="1">
      <c r="A165" s="6" t="str">
        <f t="shared" si="1"/>
        <v>2020-05-09|Санкт-Петербург Север</v>
      </c>
      <c r="B165" s="18">
        <v>43960.0</v>
      </c>
      <c r="C165" s="9" t="s">
        <v>16</v>
      </c>
      <c r="D165" s="9">
        <v>125.0</v>
      </c>
      <c r="E165" s="9">
        <v>20132.0</v>
      </c>
      <c r="F165" s="9">
        <v>18617.0</v>
      </c>
    </row>
    <row r="166" ht="14.25" customHeight="1">
      <c r="A166" s="6" t="str">
        <f t="shared" si="1"/>
        <v>2020-05-09|Санкт-Петербург Юг</v>
      </c>
      <c r="B166" s="18">
        <v>43960.0</v>
      </c>
      <c r="C166" s="9" t="s">
        <v>15</v>
      </c>
      <c r="D166" s="9">
        <v>129.0</v>
      </c>
      <c r="E166" s="9">
        <v>16420.0</v>
      </c>
      <c r="F166" s="9">
        <v>15169.0</v>
      </c>
    </row>
    <row r="167" ht="14.25" customHeight="1">
      <c r="A167" s="6" t="str">
        <f t="shared" si="1"/>
        <v>2020-05-09|Тольятти</v>
      </c>
      <c r="B167" s="18">
        <v>43960.0</v>
      </c>
      <c r="C167" s="9" t="s">
        <v>13</v>
      </c>
      <c r="D167" s="9">
        <v>10.0</v>
      </c>
      <c r="E167" s="9">
        <v>644.0</v>
      </c>
      <c r="F167" s="9">
        <v>559.0</v>
      </c>
    </row>
    <row r="168" ht="14.25" customHeight="1">
      <c r="A168" s="6" t="str">
        <f t="shared" si="1"/>
        <v>2020-05-10|Волгоград</v>
      </c>
      <c r="B168" s="18">
        <v>43961.0</v>
      </c>
      <c r="C168" s="9" t="s">
        <v>17</v>
      </c>
      <c r="D168" s="9">
        <v>36.0</v>
      </c>
      <c r="E168" s="9">
        <v>5746.0</v>
      </c>
      <c r="F168" s="9">
        <v>5277.0</v>
      </c>
    </row>
    <row r="169" ht="14.25" customHeight="1">
      <c r="A169" s="6" t="str">
        <f t="shared" si="1"/>
        <v>2020-05-10|Екатеринбург</v>
      </c>
      <c r="B169" s="18">
        <v>43961.0</v>
      </c>
      <c r="C169" s="9" t="s">
        <v>12</v>
      </c>
      <c r="D169" s="9">
        <v>31.0</v>
      </c>
      <c r="E169" s="9">
        <v>5495.0</v>
      </c>
      <c r="F169" s="9">
        <v>5093.0</v>
      </c>
    </row>
    <row r="170" ht="14.25" customHeight="1">
      <c r="A170" s="6" t="str">
        <f t="shared" si="1"/>
        <v>2020-05-10|Казань</v>
      </c>
      <c r="B170" s="18">
        <v>43961.0</v>
      </c>
      <c r="C170" s="9" t="s">
        <v>18</v>
      </c>
      <c r="D170" s="9">
        <v>21.0</v>
      </c>
      <c r="E170" s="9">
        <v>2120.0</v>
      </c>
      <c r="F170" s="9">
        <v>1921.0</v>
      </c>
    </row>
    <row r="171" ht="14.25" customHeight="1">
      <c r="A171" s="6" t="str">
        <f t="shared" si="1"/>
        <v>2020-05-10|Кемерово</v>
      </c>
      <c r="B171" s="18">
        <v>43961.0</v>
      </c>
      <c r="C171" s="9" t="s">
        <v>11</v>
      </c>
      <c r="D171" s="9">
        <v>21.0</v>
      </c>
      <c r="E171" s="9">
        <v>2016.0</v>
      </c>
      <c r="F171" s="9">
        <v>1846.0</v>
      </c>
    </row>
    <row r="172" ht="14.25" customHeight="1">
      <c r="A172" s="6" t="str">
        <f t="shared" si="1"/>
        <v>2020-05-10|Краснодар</v>
      </c>
      <c r="B172" s="18">
        <v>43961.0</v>
      </c>
      <c r="C172" s="9" t="s">
        <v>21</v>
      </c>
      <c r="D172" s="9">
        <v>19.0</v>
      </c>
      <c r="E172" s="9">
        <v>1836.0</v>
      </c>
      <c r="F172" s="9">
        <v>1680.0</v>
      </c>
    </row>
    <row r="173" ht="14.25" customHeight="1">
      <c r="A173" s="6" t="str">
        <f t="shared" si="1"/>
        <v>2020-05-10|Москва Восток</v>
      </c>
      <c r="B173" s="18">
        <v>43961.0</v>
      </c>
      <c r="C173" s="9" t="s">
        <v>23</v>
      </c>
      <c r="D173" s="9">
        <v>54.0</v>
      </c>
      <c r="E173" s="9">
        <v>13832.0</v>
      </c>
      <c r="F173" s="9">
        <v>12864.0</v>
      </c>
    </row>
    <row r="174" ht="14.25" customHeight="1">
      <c r="A174" s="6" t="str">
        <f t="shared" si="1"/>
        <v>2020-05-10|Москва Запад</v>
      </c>
      <c r="B174" s="18">
        <v>43961.0</v>
      </c>
      <c r="C174" s="9" t="s">
        <v>22</v>
      </c>
      <c r="D174" s="9">
        <v>59.0</v>
      </c>
      <c r="E174" s="9">
        <v>14569.0</v>
      </c>
      <c r="F174" s="9">
        <v>13566.0</v>
      </c>
    </row>
    <row r="175" ht="14.25" customHeight="1">
      <c r="A175" s="6" t="str">
        <f t="shared" si="1"/>
        <v>2020-05-10|Нижний Новгород</v>
      </c>
      <c r="B175" s="18">
        <v>43961.0</v>
      </c>
      <c r="C175" s="9" t="s">
        <v>14</v>
      </c>
      <c r="D175" s="9">
        <v>19.0</v>
      </c>
      <c r="E175" s="9">
        <v>1848.0</v>
      </c>
      <c r="F175" s="9">
        <v>1649.0</v>
      </c>
    </row>
    <row r="176" ht="14.25" customHeight="1">
      <c r="A176" s="6" t="str">
        <f t="shared" si="1"/>
        <v>2020-05-10|Новосибирск</v>
      </c>
      <c r="B176" s="18">
        <v>43961.0</v>
      </c>
      <c r="C176" s="9" t="s">
        <v>24</v>
      </c>
      <c r="D176" s="9">
        <v>15.0</v>
      </c>
      <c r="E176" s="9">
        <v>792.0</v>
      </c>
      <c r="F176" s="9">
        <v>695.0</v>
      </c>
    </row>
    <row r="177" ht="14.25" customHeight="1">
      <c r="A177" s="6" t="str">
        <f t="shared" si="1"/>
        <v>2020-05-10|Пермь</v>
      </c>
      <c r="B177" s="18">
        <v>43961.0</v>
      </c>
      <c r="C177" s="9" t="s">
        <v>19</v>
      </c>
      <c r="D177" s="9">
        <v>15.0</v>
      </c>
      <c r="E177" s="9">
        <v>950.0</v>
      </c>
      <c r="F177" s="9">
        <v>848.0</v>
      </c>
    </row>
    <row r="178" ht="14.25" customHeight="1">
      <c r="A178" s="6" t="str">
        <f t="shared" si="1"/>
        <v>2020-05-10|Ростов-на-Дону</v>
      </c>
      <c r="B178" s="18">
        <v>43961.0</v>
      </c>
      <c r="C178" s="9" t="s">
        <v>20</v>
      </c>
      <c r="D178" s="9">
        <v>15.0</v>
      </c>
      <c r="E178" s="9">
        <v>706.0</v>
      </c>
      <c r="F178" s="9">
        <v>608.0</v>
      </c>
    </row>
    <row r="179" ht="14.25" customHeight="1">
      <c r="A179" s="6" t="str">
        <f t="shared" si="1"/>
        <v>2020-05-10|Санкт-Петербург Север</v>
      </c>
      <c r="B179" s="18">
        <v>43961.0</v>
      </c>
      <c r="C179" s="9" t="s">
        <v>16</v>
      </c>
      <c r="D179" s="9">
        <v>125.0</v>
      </c>
      <c r="E179" s="9">
        <v>20368.0</v>
      </c>
      <c r="F179" s="9">
        <v>18884.0</v>
      </c>
    </row>
    <row r="180" ht="14.25" customHeight="1">
      <c r="A180" s="6" t="str">
        <f t="shared" si="1"/>
        <v>2020-05-10|Санкт-Петербург Юг</v>
      </c>
      <c r="B180" s="18">
        <v>43961.0</v>
      </c>
      <c r="C180" s="9" t="s">
        <v>15</v>
      </c>
      <c r="D180" s="9">
        <v>129.0</v>
      </c>
      <c r="E180" s="9">
        <v>16437.0</v>
      </c>
      <c r="F180" s="9">
        <v>15285.0</v>
      </c>
    </row>
    <row r="181" ht="14.25" customHeight="1">
      <c r="A181" s="6" t="str">
        <f t="shared" si="1"/>
        <v>2020-05-10|Тольятти</v>
      </c>
      <c r="B181" s="18">
        <v>43961.0</v>
      </c>
      <c r="C181" s="9" t="s">
        <v>13</v>
      </c>
      <c r="D181" s="9">
        <v>10.0</v>
      </c>
      <c r="E181" s="9">
        <v>642.0</v>
      </c>
      <c r="F181" s="9">
        <v>556.0</v>
      </c>
    </row>
    <row r="182" ht="14.25" customHeight="1">
      <c r="A182" s="6" t="str">
        <f t="shared" si="1"/>
        <v>2020-05-11|Волгоград</v>
      </c>
      <c r="B182" s="18">
        <v>43962.0</v>
      </c>
      <c r="C182" s="9" t="s">
        <v>17</v>
      </c>
      <c r="D182" s="9">
        <v>36.0</v>
      </c>
      <c r="E182" s="9">
        <v>4150.0</v>
      </c>
      <c r="F182" s="9">
        <v>3838.0</v>
      </c>
    </row>
    <row r="183" ht="14.25" customHeight="1">
      <c r="A183" s="6" t="str">
        <f t="shared" si="1"/>
        <v>2020-05-11|Екатеринбург</v>
      </c>
      <c r="B183" s="18">
        <v>43962.0</v>
      </c>
      <c r="C183" s="9" t="s">
        <v>12</v>
      </c>
      <c r="D183" s="9">
        <v>31.0</v>
      </c>
      <c r="E183" s="9">
        <v>4826.0</v>
      </c>
      <c r="F183" s="9">
        <v>4483.0</v>
      </c>
    </row>
    <row r="184" ht="14.25" customHeight="1">
      <c r="A184" s="6" t="str">
        <f t="shared" si="1"/>
        <v>2020-05-11|Казань</v>
      </c>
      <c r="B184" s="18">
        <v>43962.0</v>
      </c>
      <c r="C184" s="9" t="s">
        <v>18</v>
      </c>
      <c r="D184" s="9">
        <v>21.0</v>
      </c>
      <c r="E184" s="9">
        <v>1916.0</v>
      </c>
      <c r="F184" s="9">
        <v>1733.0</v>
      </c>
    </row>
    <row r="185" ht="14.25" customHeight="1">
      <c r="A185" s="6" t="str">
        <f t="shared" si="1"/>
        <v>2020-05-11|Кемерово</v>
      </c>
      <c r="B185" s="18">
        <v>43962.0</v>
      </c>
      <c r="C185" s="9" t="s">
        <v>11</v>
      </c>
      <c r="D185" s="9">
        <v>21.0</v>
      </c>
      <c r="E185" s="9">
        <v>1597.0</v>
      </c>
      <c r="F185" s="9">
        <v>1457.0</v>
      </c>
    </row>
    <row r="186" ht="14.25" customHeight="1">
      <c r="A186" s="6" t="str">
        <f t="shared" si="1"/>
        <v>2020-05-11|Краснодар</v>
      </c>
      <c r="B186" s="18">
        <v>43962.0</v>
      </c>
      <c r="C186" s="9" t="s">
        <v>21</v>
      </c>
      <c r="D186" s="9">
        <v>19.0</v>
      </c>
      <c r="E186" s="9">
        <v>1527.0</v>
      </c>
      <c r="F186" s="9">
        <v>1389.0</v>
      </c>
    </row>
    <row r="187" ht="14.25" customHeight="1">
      <c r="A187" s="6" t="str">
        <f t="shared" si="1"/>
        <v>2020-05-11|Москва Восток</v>
      </c>
      <c r="B187" s="18">
        <v>43962.0</v>
      </c>
      <c r="C187" s="9" t="s">
        <v>23</v>
      </c>
      <c r="D187" s="9">
        <v>54.0</v>
      </c>
      <c r="E187" s="9">
        <v>10570.0</v>
      </c>
      <c r="F187" s="9">
        <v>9926.0</v>
      </c>
    </row>
    <row r="188" ht="14.25" customHeight="1">
      <c r="A188" s="6" t="str">
        <f t="shared" si="1"/>
        <v>2020-05-11|Москва Запад</v>
      </c>
      <c r="B188" s="18">
        <v>43962.0</v>
      </c>
      <c r="C188" s="9" t="s">
        <v>22</v>
      </c>
      <c r="D188" s="9">
        <v>60.0</v>
      </c>
      <c r="E188" s="9">
        <v>11100.0</v>
      </c>
      <c r="F188" s="9">
        <v>10407.0</v>
      </c>
    </row>
    <row r="189" ht="14.25" customHeight="1">
      <c r="A189" s="6" t="str">
        <f t="shared" si="1"/>
        <v>2020-05-11|Нижний Новгород</v>
      </c>
      <c r="B189" s="18">
        <v>43962.0</v>
      </c>
      <c r="C189" s="9" t="s">
        <v>14</v>
      </c>
      <c r="D189" s="9">
        <v>19.0</v>
      </c>
      <c r="E189" s="9">
        <v>2530.0</v>
      </c>
      <c r="F189" s="9">
        <v>2270.0</v>
      </c>
    </row>
    <row r="190" ht="14.25" customHeight="1">
      <c r="A190" s="6" t="str">
        <f t="shared" si="1"/>
        <v>2020-05-11|Новосибирск</v>
      </c>
      <c r="B190" s="18">
        <v>43962.0</v>
      </c>
      <c r="C190" s="9" t="s">
        <v>24</v>
      </c>
      <c r="D190" s="9">
        <v>15.0</v>
      </c>
      <c r="E190" s="9">
        <v>654.0</v>
      </c>
      <c r="F190" s="9">
        <v>564.0</v>
      </c>
    </row>
    <row r="191" ht="14.25" customHeight="1">
      <c r="A191" s="6" t="str">
        <f t="shared" si="1"/>
        <v>2020-05-11|Пермь</v>
      </c>
      <c r="B191" s="18">
        <v>43962.0</v>
      </c>
      <c r="C191" s="9" t="s">
        <v>19</v>
      </c>
      <c r="D191" s="9">
        <v>15.0</v>
      </c>
      <c r="E191" s="9">
        <v>812.0</v>
      </c>
      <c r="F191" s="9">
        <v>714.0</v>
      </c>
    </row>
    <row r="192" ht="14.25" customHeight="1">
      <c r="A192" s="6" t="str">
        <f t="shared" si="1"/>
        <v>2020-05-11|Ростов-на-Дону</v>
      </c>
      <c r="B192" s="18">
        <v>43962.0</v>
      </c>
      <c r="C192" s="9" t="s">
        <v>20</v>
      </c>
      <c r="D192" s="9">
        <v>15.0</v>
      </c>
      <c r="E192" s="9">
        <v>684.0</v>
      </c>
      <c r="F192" s="9">
        <v>585.0</v>
      </c>
    </row>
    <row r="193" ht="14.25" customHeight="1">
      <c r="A193" s="6" t="str">
        <f t="shared" si="1"/>
        <v>2020-05-11|Санкт-Петербург Север</v>
      </c>
      <c r="B193" s="18">
        <v>43962.0</v>
      </c>
      <c r="C193" s="9" t="s">
        <v>16</v>
      </c>
      <c r="D193" s="9">
        <v>125.0</v>
      </c>
      <c r="E193" s="9">
        <v>18066.0</v>
      </c>
      <c r="F193" s="9">
        <v>16883.0</v>
      </c>
    </row>
    <row r="194" ht="14.25" customHeight="1">
      <c r="A194" s="6" t="str">
        <f t="shared" si="1"/>
        <v>2020-05-11|Санкт-Петербург Юг</v>
      </c>
      <c r="B194" s="18">
        <v>43962.0</v>
      </c>
      <c r="C194" s="9" t="s">
        <v>15</v>
      </c>
      <c r="D194" s="9">
        <v>129.0</v>
      </c>
      <c r="E194" s="9">
        <v>14043.0</v>
      </c>
      <c r="F194" s="9">
        <v>13167.0</v>
      </c>
    </row>
    <row r="195" ht="14.25" customHeight="1">
      <c r="A195" s="6" t="str">
        <f t="shared" si="1"/>
        <v>2020-05-11|Тольятти</v>
      </c>
      <c r="B195" s="18">
        <v>43962.0</v>
      </c>
      <c r="C195" s="9" t="s">
        <v>13</v>
      </c>
      <c r="D195" s="9">
        <v>10.0</v>
      </c>
      <c r="E195" s="9">
        <v>494.0</v>
      </c>
      <c r="F195" s="9">
        <v>421.0</v>
      </c>
    </row>
    <row r="196" ht="14.25" customHeight="1">
      <c r="A196" s="6" t="str">
        <f t="shared" si="1"/>
        <v>2020-05-12|Волгоград</v>
      </c>
      <c r="B196" s="18">
        <v>43963.0</v>
      </c>
      <c r="C196" s="9" t="s">
        <v>17</v>
      </c>
      <c r="D196" s="9">
        <v>36.0</v>
      </c>
      <c r="E196" s="9">
        <v>4418.0</v>
      </c>
      <c r="F196" s="9">
        <v>4088.0</v>
      </c>
    </row>
    <row r="197" ht="14.25" customHeight="1">
      <c r="A197" s="6" t="str">
        <f t="shared" si="1"/>
        <v>2020-05-12|Екатеринбург</v>
      </c>
      <c r="B197" s="18">
        <v>43963.0</v>
      </c>
      <c r="C197" s="9" t="s">
        <v>12</v>
      </c>
      <c r="D197" s="9">
        <v>31.0</v>
      </c>
      <c r="E197" s="9">
        <v>4800.0</v>
      </c>
      <c r="F197" s="9">
        <v>4470.0</v>
      </c>
    </row>
    <row r="198" ht="14.25" customHeight="1">
      <c r="A198" s="6" t="str">
        <f t="shared" si="1"/>
        <v>2020-05-12|Казань</v>
      </c>
      <c r="B198" s="18">
        <v>43963.0</v>
      </c>
      <c r="C198" s="9" t="s">
        <v>18</v>
      </c>
      <c r="D198" s="9">
        <v>21.0</v>
      </c>
      <c r="E198" s="9">
        <v>1926.0</v>
      </c>
      <c r="F198" s="9">
        <v>1745.0</v>
      </c>
    </row>
    <row r="199" ht="14.25" customHeight="1">
      <c r="A199" s="6" t="str">
        <f t="shared" si="1"/>
        <v>2020-05-12|Кемерово</v>
      </c>
      <c r="B199" s="18">
        <v>43963.0</v>
      </c>
      <c r="C199" s="9" t="s">
        <v>11</v>
      </c>
      <c r="D199" s="9">
        <v>21.0</v>
      </c>
      <c r="E199" s="9">
        <v>1656.0</v>
      </c>
      <c r="F199" s="9">
        <v>1516.0</v>
      </c>
    </row>
    <row r="200" ht="14.25" customHeight="1">
      <c r="A200" s="6" t="str">
        <f t="shared" si="1"/>
        <v>2020-05-12|Краснодар</v>
      </c>
      <c r="B200" s="18">
        <v>43963.0</v>
      </c>
      <c r="C200" s="9" t="s">
        <v>21</v>
      </c>
      <c r="D200" s="9">
        <v>19.0</v>
      </c>
      <c r="E200" s="9">
        <v>1598.0</v>
      </c>
      <c r="F200" s="9">
        <v>1454.0</v>
      </c>
    </row>
    <row r="201" ht="14.25" customHeight="1">
      <c r="A201" s="6" t="str">
        <f t="shared" si="1"/>
        <v>2020-05-12|Москва Восток</v>
      </c>
      <c r="B201" s="18">
        <v>43963.0</v>
      </c>
      <c r="C201" s="9" t="s">
        <v>23</v>
      </c>
      <c r="D201" s="9">
        <v>54.0</v>
      </c>
      <c r="E201" s="9">
        <v>11614.0</v>
      </c>
      <c r="F201" s="9">
        <v>10862.0</v>
      </c>
    </row>
    <row r="202" ht="14.25" customHeight="1">
      <c r="A202" s="6" t="str">
        <f t="shared" si="1"/>
        <v>2020-05-12|Москва Запад</v>
      </c>
      <c r="B202" s="18">
        <v>43963.0</v>
      </c>
      <c r="C202" s="9" t="s">
        <v>22</v>
      </c>
      <c r="D202" s="9">
        <v>60.0</v>
      </c>
      <c r="E202" s="9">
        <v>12000.0</v>
      </c>
      <c r="F202" s="9">
        <v>11194.0</v>
      </c>
    </row>
    <row r="203" ht="14.25" customHeight="1">
      <c r="A203" s="6" t="str">
        <f t="shared" si="1"/>
        <v>2020-05-12|Нижний Новгород</v>
      </c>
      <c r="B203" s="18">
        <v>43963.0</v>
      </c>
      <c r="C203" s="9" t="s">
        <v>14</v>
      </c>
      <c r="D203" s="9">
        <v>19.0</v>
      </c>
      <c r="E203" s="9">
        <v>1649.0</v>
      </c>
      <c r="F203" s="9">
        <v>1460.0</v>
      </c>
    </row>
    <row r="204" ht="14.25" customHeight="1">
      <c r="A204" s="6" t="str">
        <f t="shared" si="1"/>
        <v>2020-05-12|Новосибирск</v>
      </c>
      <c r="B204" s="18">
        <v>43963.0</v>
      </c>
      <c r="C204" s="9" t="s">
        <v>24</v>
      </c>
      <c r="D204" s="9">
        <v>15.0</v>
      </c>
      <c r="E204" s="9">
        <v>750.0</v>
      </c>
      <c r="F204" s="9">
        <v>659.0</v>
      </c>
    </row>
    <row r="205" ht="14.25" customHeight="1">
      <c r="A205" s="6" t="str">
        <f t="shared" si="1"/>
        <v>2020-05-12|Пермь</v>
      </c>
      <c r="B205" s="18">
        <v>43963.0</v>
      </c>
      <c r="C205" s="9" t="s">
        <v>19</v>
      </c>
      <c r="D205" s="9">
        <v>15.0</v>
      </c>
      <c r="E205" s="9">
        <v>845.0</v>
      </c>
      <c r="F205" s="9">
        <v>743.0</v>
      </c>
    </row>
    <row r="206" ht="14.25" customHeight="1">
      <c r="A206" s="6" t="str">
        <f t="shared" si="1"/>
        <v>2020-05-12|Ростов-на-Дону</v>
      </c>
      <c r="B206" s="18">
        <v>43963.0</v>
      </c>
      <c r="C206" s="9" t="s">
        <v>20</v>
      </c>
      <c r="D206" s="9">
        <v>15.0</v>
      </c>
      <c r="E206" s="9">
        <v>624.0</v>
      </c>
      <c r="F206" s="9">
        <v>538.0</v>
      </c>
    </row>
    <row r="207" ht="14.25" customHeight="1">
      <c r="A207" s="6" t="str">
        <f t="shared" si="1"/>
        <v>2020-05-12|Санкт-Петербург Север</v>
      </c>
      <c r="B207" s="18">
        <v>43963.0</v>
      </c>
      <c r="C207" s="9" t="s">
        <v>16</v>
      </c>
      <c r="D207" s="9">
        <v>125.0</v>
      </c>
      <c r="E207" s="9">
        <v>21106.0</v>
      </c>
      <c r="F207" s="9">
        <v>19651.0</v>
      </c>
    </row>
    <row r="208" ht="14.25" customHeight="1">
      <c r="A208" s="6" t="str">
        <f t="shared" si="1"/>
        <v>2020-05-12|Санкт-Петербург Юг</v>
      </c>
      <c r="B208" s="18">
        <v>43963.0</v>
      </c>
      <c r="C208" s="9" t="s">
        <v>15</v>
      </c>
      <c r="D208" s="9">
        <v>129.0</v>
      </c>
      <c r="E208" s="9">
        <v>16387.0</v>
      </c>
      <c r="F208" s="9">
        <v>15322.0</v>
      </c>
    </row>
    <row r="209" ht="14.25" customHeight="1">
      <c r="A209" s="6" t="str">
        <f t="shared" si="1"/>
        <v>2020-05-12|Тольятти</v>
      </c>
      <c r="B209" s="18">
        <v>43963.0</v>
      </c>
      <c r="C209" s="9" t="s">
        <v>13</v>
      </c>
      <c r="D209" s="9">
        <v>10.0</v>
      </c>
      <c r="E209" s="9">
        <v>526.0</v>
      </c>
      <c r="F209" s="9">
        <v>448.0</v>
      </c>
    </row>
    <row r="210" ht="14.25" customHeight="1">
      <c r="A210" s="6" t="str">
        <f t="shared" si="1"/>
        <v>2020-05-13|Волгоград</v>
      </c>
      <c r="B210" s="18">
        <v>43964.0</v>
      </c>
      <c r="C210" s="9" t="s">
        <v>17</v>
      </c>
      <c r="D210" s="9">
        <v>36.0</v>
      </c>
      <c r="E210" s="9">
        <v>4967.0</v>
      </c>
      <c r="F210" s="9">
        <v>4583.0</v>
      </c>
    </row>
    <row r="211" ht="14.25" customHeight="1">
      <c r="A211" s="6" t="str">
        <f t="shared" si="1"/>
        <v>2020-05-13|Екатеринбург</v>
      </c>
      <c r="B211" s="18">
        <v>43964.0</v>
      </c>
      <c r="C211" s="9" t="s">
        <v>12</v>
      </c>
      <c r="D211" s="9">
        <v>31.0</v>
      </c>
      <c r="E211" s="9">
        <v>5251.0</v>
      </c>
      <c r="F211" s="9">
        <v>4853.0</v>
      </c>
    </row>
    <row r="212" ht="14.25" customHeight="1">
      <c r="A212" s="6" t="str">
        <f t="shared" si="1"/>
        <v>2020-05-13|Казань</v>
      </c>
      <c r="B212" s="18">
        <v>43964.0</v>
      </c>
      <c r="C212" s="9" t="s">
        <v>18</v>
      </c>
      <c r="D212" s="9">
        <v>21.0</v>
      </c>
      <c r="E212" s="9">
        <v>2061.0</v>
      </c>
      <c r="F212" s="9">
        <v>1876.0</v>
      </c>
    </row>
    <row r="213" ht="14.25" customHeight="1">
      <c r="A213" s="6" t="str">
        <f t="shared" si="1"/>
        <v>2020-05-13|Кемерово</v>
      </c>
      <c r="B213" s="18">
        <v>43964.0</v>
      </c>
      <c r="C213" s="9" t="s">
        <v>11</v>
      </c>
      <c r="D213" s="9">
        <v>21.0</v>
      </c>
      <c r="E213" s="9">
        <v>1698.0</v>
      </c>
      <c r="F213" s="9">
        <v>1554.0</v>
      </c>
    </row>
    <row r="214" ht="14.25" customHeight="1">
      <c r="A214" s="6" t="str">
        <f t="shared" si="1"/>
        <v>2020-05-13|Краснодар</v>
      </c>
      <c r="B214" s="18">
        <v>43964.0</v>
      </c>
      <c r="C214" s="9" t="s">
        <v>21</v>
      </c>
      <c r="D214" s="9">
        <v>19.0</v>
      </c>
      <c r="E214" s="9">
        <v>1605.0</v>
      </c>
      <c r="F214" s="9">
        <v>1447.0</v>
      </c>
    </row>
    <row r="215" ht="14.25" customHeight="1">
      <c r="A215" s="6" t="str">
        <f t="shared" si="1"/>
        <v>2020-05-13|Москва Восток</v>
      </c>
      <c r="B215" s="18">
        <v>43964.0</v>
      </c>
      <c r="C215" s="9" t="s">
        <v>23</v>
      </c>
      <c r="D215" s="9">
        <v>54.0</v>
      </c>
      <c r="E215" s="9">
        <v>11522.0</v>
      </c>
      <c r="F215" s="9">
        <v>10803.0</v>
      </c>
    </row>
    <row r="216" ht="14.25" customHeight="1">
      <c r="A216" s="6" t="str">
        <f t="shared" si="1"/>
        <v>2020-05-13|Москва Запад</v>
      </c>
      <c r="B216" s="18">
        <v>43964.0</v>
      </c>
      <c r="C216" s="9" t="s">
        <v>22</v>
      </c>
      <c r="D216" s="9">
        <v>60.0</v>
      </c>
      <c r="E216" s="9">
        <v>12007.0</v>
      </c>
      <c r="F216" s="9">
        <v>11245.0</v>
      </c>
    </row>
    <row r="217" ht="14.25" customHeight="1">
      <c r="A217" s="6" t="str">
        <f t="shared" si="1"/>
        <v>2020-05-13|Нижний Новгород</v>
      </c>
      <c r="B217" s="18">
        <v>43964.0</v>
      </c>
      <c r="C217" s="9" t="s">
        <v>14</v>
      </c>
      <c r="D217" s="9">
        <v>19.0</v>
      </c>
      <c r="E217" s="9">
        <v>1625.0</v>
      </c>
      <c r="F217" s="9">
        <v>1444.0</v>
      </c>
    </row>
    <row r="218" ht="14.25" customHeight="1">
      <c r="A218" s="6" t="str">
        <f t="shared" si="1"/>
        <v>2020-05-13|Новосибирск</v>
      </c>
      <c r="B218" s="18">
        <v>43964.0</v>
      </c>
      <c r="C218" s="9" t="s">
        <v>24</v>
      </c>
      <c r="D218" s="9">
        <v>15.0</v>
      </c>
      <c r="E218" s="9">
        <v>854.0</v>
      </c>
      <c r="F218" s="9">
        <v>756.0</v>
      </c>
    </row>
    <row r="219" ht="14.25" customHeight="1">
      <c r="A219" s="6" t="str">
        <f t="shared" si="1"/>
        <v>2020-05-13|Пермь</v>
      </c>
      <c r="B219" s="18">
        <v>43964.0</v>
      </c>
      <c r="C219" s="9" t="s">
        <v>19</v>
      </c>
      <c r="D219" s="9">
        <v>15.0</v>
      </c>
      <c r="E219" s="9">
        <v>898.0</v>
      </c>
      <c r="F219" s="9">
        <v>795.0</v>
      </c>
    </row>
    <row r="220" ht="14.25" customHeight="1">
      <c r="A220" s="6" t="str">
        <f t="shared" si="1"/>
        <v>2020-05-13|Ростов-на-Дону</v>
      </c>
      <c r="B220" s="18">
        <v>43964.0</v>
      </c>
      <c r="C220" s="9" t="s">
        <v>20</v>
      </c>
      <c r="D220" s="9">
        <v>15.0</v>
      </c>
      <c r="E220" s="9">
        <v>599.0</v>
      </c>
      <c r="F220" s="9">
        <v>515.0</v>
      </c>
    </row>
    <row r="221" ht="14.25" customHeight="1">
      <c r="A221" s="6" t="str">
        <f t="shared" si="1"/>
        <v>2020-05-13|Санкт-Петербург Север</v>
      </c>
      <c r="B221" s="18">
        <v>43964.0</v>
      </c>
      <c r="C221" s="9" t="s">
        <v>16</v>
      </c>
      <c r="D221" s="9">
        <v>125.0</v>
      </c>
      <c r="E221" s="9">
        <v>19965.0</v>
      </c>
      <c r="F221" s="9">
        <v>18573.0</v>
      </c>
    </row>
    <row r="222" ht="14.25" customHeight="1">
      <c r="A222" s="6" t="str">
        <f t="shared" si="1"/>
        <v>2020-05-13|Санкт-Петербург Юг</v>
      </c>
      <c r="B222" s="18">
        <v>43964.0</v>
      </c>
      <c r="C222" s="9" t="s">
        <v>15</v>
      </c>
      <c r="D222" s="9">
        <v>129.0</v>
      </c>
      <c r="E222" s="9">
        <v>15304.0</v>
      </c>
      <c r="F222" s="9">
        <v>14315.0</v>
      </c>
    </row>
    <row r="223" ht="14.25" customHeight="1">
      <c r="A223" s="6" t="str">
        <f t="shared" si="1"/>
        <v>2020-05-13|Тольятти</v>
      </c>
      <c r="B223" s="18">
        <v>43964.0</v>
      </c>
      <c r="C223" s="9" t="s">
        <v>13</v>
      </c>
      <c r="D223" s="9">
        <v>10.0</v>
      </c>
      <c r="E223" s="9">
        <v>612.0</v>
      </c>
      <c r="F223" s="9">
        <v>530.0</v>
      </c>
    </row>
    <row r="224" ht="14.25" customHeight="1">
      <c r="A224" s="6" t="str">
        <f t="shared" si="1"/>
        <v>2020-05-14|Волгоград</v>
      </c>
      <c r="B224" s="18">
        <v>43965.0</v>
      </c>
      <c r="C224" s="9" t="s">
        <v>17</v>
      </c>
      <c r="D224" s="9">
        <v>36.0</v>
      </c>
      <c r="E224" s="9">
        <v>4285.0</v>
      </c>
      <c r="F224" s="9">
        <v>3950.0</v>
      </c>
    </row>
    <row r="225" ht="14.25" customHeight="1">
      <c r="A225" s="6" t="str">
        <f t="shared" si="1"/>
        <v>2020-05-14|Екатеринбург</v>
      </c>
      <c r="B225" s="18">
        <v>43965.0</v>
      </c>
      <c r="C225" s="9" t="s">
        <v>12</v>
      </c>
      <c r="D225" s="9">
        <v>31.0</v>
      </c>
      <c r="E225" s="9">
        <v>4695.0</v>
      </c>
      <c r="F225" s="9">
        <v>4372.0</v>
      </c>
    </row>
    <row r="226" ht="14.25" customHeight="1">
      <c r="A226" s="6" t="str">
        <f t="shared" si="1"/>
        <v>2020-05-14|Казань</v>
      </c>
      <c r="B226" s="18">
        <v>43965.0</v>
      </c>
      <c r="C226" s="9" t="s">
        <v>18</v>
      </c>
      <c r="D226" s="9">
        <v>21.0</v>
      </c>
      <c r="E226" s="9">
        <v>1993.0</v>
      </c>
      <c r="F226" s="9">
        <v>1796.0</v>
      </c>
    </row>
    <row r="227" ht="14.25" customHeight="1">
      <c r="A227" s="6" t="str">
        <f t="shared" si="1"/>
        <v>2020-05-14|Кемерово</v>
      </c>
      <c r="B227" s="18">
        <v>43965.0</v>
      </c>
      <c r="C227" s="9" t="s">
        <v>11</v>
      </c>
      <c r="D227" s="9">
        <v>21.0</v>
      </c>
      <c r="E227" s="9">
        <v>1706.0</v>
      </c>
      <c r="F227" s="9">
        <v>1548.0</v>
      </c>
    </row>
    <row r="228" ht="14.25" customHeight="1">
      <c r="A228" s="6" t="str">
        <f t="shared" si="1"/>
        <v>2020-05-14|Краснодар</v>
      </c>
      <c r="B228" s="18">
        <v>43965.0</v>
      </c>
      <c r="C228" s="9" t="s">
        <v>21</v>
      </c>
      <c r="D228" s="9">
        <v>19.0</v>
      </c>
      <c r="E228" s="9">
        <v>1635.0</v>
      </c>
      <c r="F228" s="9">
        <v>1487.0</v>
      </c>
    </row>
    <row r="229" ht="14.25" customHeight="1">
      <c r="A229" s="6" t="str">
        <f t="shared" si="1"/>
        <v>2020-05-14|Москва Восток</v>
      </c>
      <c r="B229" s="18">
        <v>43965.0</v>
      </c>
      <c r="C229" s="9" t="s">
        <v>23</v>
      </c>
      <c r="D229" s="9">
        <v>54.0</v>
      </c>
      <c r="E229" s="9">
        <v>11194.0</v>
      </c>
      <c r="F229" s="9">
        <v>10554.0</v>
      </c>
    </row>
    <row r="230" ht="14.25" customHeight="1">
      <c r="A230" s="6" t="str">
        <f t="shared" si="1"/>
        <v>2020-05-14|Москва Запад</v>
      </c>
      <c r="B230" s="18">
        <v>43965.0</v>
      </c>
      <c r="C230" s="9" t="s">
        <v>22</v>
      </c>
      <c r="D230" s="9">
        <v>60.0</v>
      </c>
      <c r="E230" s="9">
        <v>11935.0</v>
      </c>
      <c r="F230" s="9">
        <v>11178.0</v>
      </c>
    </row>
    <row r="231" ht="14.25" customHeight="1">
      <c r="A231" s="6" t="str">
        <f t="shared" si="1"/>
        <v>2020-05-14|Нижний Новгород</v>
      </c>
      <c r="B231" s="18">
        <v>43965.0</v>
      </c>
      <c r="C231" s="9" t="s">
        <v>14</v>
      </c>
      <c r="D231" s="9">
        <v>19.0</v>
      </c>
      <c r="E231" s="9">
        <v>1675.0</v>
      </c>
      <c r="F231" s="9">
        <v>1475.0</v>
      </c>
    </row>
    <row r="232" ht="14.25" customHeight="1">
      <c r="A232" s="6" t="str">
        <f t="shared" si="1"/>
        <v>2020-05-14|Новосибирск</v>
      </c>
      <c r="B232" s="18">
        <v>43965.0</v>
      </c>
      <c r="C232" s="9" t="s">
        <v>24</v>
      </c>
      <c r="D232" s="9">
        <v>16.0</v>
      </c>
      <c r="E232" s="9">
        <v>834.0</v>
      </c>
      <c r="F232" s="9">
        <v>735.0</v>
      </c>
    </row>
    <row r="233" ht="14.25" customHeight="1">
      <c r="A233" s="6" t="str">
        <f t="shared" si="1"/>
        <v>2020-05-14|Пермь</v>
      </c>
      <c r="B233" s="18">
        <v>43965.0</v>
      </c>
      <c r="C233" s="9" t="s">
        <v>19</v>
      </c>
      <c r="D233" s="9">
        <v>15.0</v>
      </c>
      <c r="E233" s="9">
        <v>890.0</v>
      </c>
      <c r="F233" s="9">
        <v>777.0</v>
      </c>
    </row>
    <row r="234" ht="14.25" customHeight="1">
      <c r="A234" s="6" t="str">
        <f t="shared" si="1"/>
        <v>2020-05-14|Ростов-на-Дону</v>
      </c>
      <c r="B234" s="18">
        <v>43965.0</v>
      </c>
      <c r="C234" s="9" t="s">
        <v>20</v>
      </c>
      <c r="D234" s="9">
        <v>15.0</v>
      </c>
      <c r="E234" s="9">
        <v>638.0</v>
      </c>
      <c r="F234" s="9">
        <v>548.0</v>
      </c>
    </row>
    <row r="235" ht="14.25" customHeight="1">
      <c r="A235" s="6" t="str">
        <f t="shared" si="1"/>
        <v>2020-05-14|Санкт-Петербург Север</v>
      </c>
      <c r="B235" s="18">
        <v>43965.0</v>
      </c>
      <c r="C235" s="9" t="s">
        <v>16</v>
      </c>
      <c r="D235" s="9">
        <v>125.0</v>
      </c>
      <c r="E235" s="9">
        <v>20247.0</v>
      </c>
      <c r="F235" s="9">
        <v>18812.0</v>
      </c>
    </row>
    <row r="236" ht="14.25" customHeight="1">
      <c r="A236" s="6" t="str">
        <f t="shared" si="1"/>
        <v>2020-05-14|Санкт-Петербург Юг</v>
      </c>
      <c r="B236" s="18">
        <v>43965.0</v>
      </c>
      <c r="C236" s="9" t="s">
        <v>15</v>
      </c>
      <c r="D236" s="9">
        <v>129.0</v>
      </c>
      <c r="E236" s="9">
        <v>15804.0</v>
      </c>
      <c r="F236" s="9">
        <v>14738.0</v>
      </c>
    </row>
    <row r="237" ht="14.25" customHeight="1">
      <c r="A237" s="6" t="str">
        <f t="shared" si="1"/>
        <v>2020-05-14|Тольятти</v>
      </c>
      <c r="B237" s="18">
        <v>43965.0</v>
      </c>
      <c r="C237" s="9" t="s">
        <v>13</v>
      </c>
      <c r="D237" s="9">
        <v>10.0</v>
      </c>
      <c r="E237" s="9">
        <v>627.0</v>
      </c>
      <c r="F237" s="9">
        <v>545.0</v>
      </c>
    </row>
    <row r="238" ht="14.25" customHeight="1">
      <c r="A238" s="6" t="str">
        <f t="shared" si="1"/>
        <v>2020-05-15|Волгоград</v>
      </c>
      <c r="B238" s="18">
        <v>43966.0</v>
      </c>
      <c r="C238" s="9" t="s">
        <v>17</v>
      </c>
      <c r="D238" s="9">
        <v>36.0</v>
      </c>
      <c r="E238" s="9">
        <v>4862.0</v>
      </c>
      <c r="F238" s="9">
        <v>4476.0</v>
      </c>
    </row>
    <row r="239" ht="14.25" customHeight="1">
      <c r="A239" s="6" t="str">
        <f t="shared" si="1"/>
        <v>2020-05-15|Екатеринбург</v>
      </c>
      <c r="B239" s="18">
        <v>43966.0</v>
      </c>
      <c r="C239" s="9" t="s">
        <v>12</v>
      </c>
      <c r="D239" s="9">
        <v>31.0</v>
      </c>
      <c r="E239" s="9">
        <v>5184.0</v>
      </c>
      <c r="F239" s="9">
        <v>4778.0</v>
      </c>
    </row>
    <row r="240" ht="14.25" customHeight="1">
      <c r="A240" s="6" t="str">
        <f t="shared" si="1"/>
        <v>2020-05-15|Казань</v>
      </c>
      <c r="B240" s="18">
        <v>43966.0</v>
      </c>
      <c r="C240" s="9" t="s">
        <v>18</v>
      </c>
      <c r="D240" s="9">
        <v>21.0</v>
      </c>
      <c r="E240" s="9">
        <v>2255.0</v>
      </c>
      <c r="F240" s="9">
        <v>2045.0</v>
      </c>
    </row>
    <row r="241" ht="14.25" customHeight="1">
      <c r="A241" s="6" t="str">
        <f t="shared" si="1"/>
        <v>2020-05-15|Кемерово</v>
      </c>
      <c r="B241" s="18">
        <v>43966.0</v>
      </c>
      <c r="C241" s="9" t="s">
        <v>11</v>
      </c>
      <c r="D241" s="9">
        <v>21.0</v>
      </c>
      <c r="E241" s="9">
        <v>1926.0</v>
      </c>
      <c r="F241" s="9">
        <v>1742.0</v>
      </c>
    </row>
    <row r="242" ht="14.25" customHeight="1">
      <c r="A242" s="6" t="str">
        <f t="shared" si="1"/>
        <v>2020-05-15|Краснодар</v>
      </c>
      <c r="B242" s="18">
        <v>43966.0</v>
      </c>
      <c r="C242" s="9" t="s">
        <v>21</v>
      </c>
      <c r="D242" s="9">
        <v>19.0</v>
      </c>
      <c r="E242" s="9">
        <v>1780.0</v>
      </c>
      <c r="F242" s="9">
        <v>1615.0</v>
      </c>
    </row>
    <row r="243" ht="14.25" customHeight="1">
      <c r="A243" s="6" t="str">
        <f t="shared" si="1"/>
        <v>2020-05-15|Москва Восток</v>
      </c>
      <c r="B243" s="18">
        <v>43966.0</v>
      </c>
      <c r="C243" s="9" t="s">
        <v>23</v>
      </c>
      <c r="D243" s="9">
        <v>54.0</v>
      </c>
      <c r="E243" s="9">
        <v>12791.0</v>
      </c>
      <c r="F243" s="9">
        <v>11950.0</v>
      </c>
    </row>
    <row r="244" ht="14.25" customHeight="1">
      <c r="A244" s="6" t="str">
        <f t="shared" si="1"/>
        <v>2020-05-15|Москва Запад</v>
      </c>
      <c r="B244" s="18">
        <v>43966.0</v>
      </c>
      <c r="C244" s="9" t="s">
        <v>22</v>
      </c>
      <c r="D244" s="9">
        <v>60.0</v>
      </c>
      <c r="E244" s="9">
        <v>13544.0</v>
      </c>
      <c r="F244" s="9">
        <v>12643.0</v>
      </c>
    </row>
    <row r="245" ht="14.25" customHeight="1">
      <c r="A245" s="6" t="str">
        <f t="shared" si="1"/>
        <v>2020-05-15|Нижний Новгород</v>
      </c>
      <c r="B245" s="18">
        <v>43966.0</v>
      </c>
      <c r="C245" s="9" t="s">
        <v>14</v>
      </c>
      <c r="D245" s="9">
        <v>19.0</v>
      </c>
      <c r="E245" s="9">
        <v>1940.0</v>
      </c>
      <c r="F245" s="9">
        <v>1715.0</v>
      </c>
    </row>
    <row r="246" ht="14.25" customHeight="1">
      <c r="A246" s="6" t="str">
        <f t="shared" si="1"/>
        <v>2020-05-15|Новосибирск</v>
      </c>
      <c r="B246" s="18">
        <v>43966.0</v>
      </c>
      <c r="C246" s="9" t="s">
        <v>24</v>
      </c>
      <c r="D246" s="9">
        <v>16.0</v>
      </c>
      <c r="E246" s="9">
        <v>817.0</v>
      </c>
      <c r="F246" s="9">
        <v>718.0</v>
      </c>
    </row>
    <row r="247" ht="14.25" customHeight="1">
      <c r="A247" s="6" t="str">
        <f t="shared" si="1"/>
        <v>2020-05-15|Пермь</v>
      </c>
      <c r="B247" s="18">
        <v>43966.0</v>
      </c>
      <c r="C247" s="9" t="s">
        <v>19</v>
      </c>
      <c r="D247" s="9">
        <v>15.0</v>
      </c>
      <c r="E247" s="9">
        <v>980.0</v>
      </c>
      <c r="F247" s="9">
        <v>867.0</v>
      </c>
    </row>
    <row r="248" ht="14.25" customHeight="1">
      <c r="A248" s="6" t="str">
        <f t="shared" si="1"/>
        <v>2020-05-15|Ростов-на-Дону</v>
      </c>
      <c r="B248" s="18">
        <v>43966.0</v>
      </c>
      <c r="C248" s="9" t="s">
        <v>20</v>
      </c>
      <c r="D248" s="9">
        <v>15.0</v>
      </c>
      <c r="E248" s="9">
        <v>688.0</v>
      </c>
      <c r="F248" s="9">
        <v>598.0</v>
      </c>
    </row>
    <row r="249" ht="14.25" customHeight="1">
      <c r="A249" s="6" t="str">
        <f t="shared" si="1"/>
        <v>2020-05-15|Санкт-Петербург Север</v>
      </c>
      <c r="B249" s="18">
        <v>43966.0</v>
      </c>
      <c r="C249" s="9" t="s">
        <v>16</v>
      </c>
      <c r="D249" s="9">
        <v>125.0</v>
      </c>
      <c r="E249" s="9">
        <v>21862.0</v>
      </c>
      <c r="F249" s="9">
        <v>20235.0</v>
      </c>
    </row>
    <row r="250" ht="14.25" customHeight="1">
      <c r="A250" s="6" t="str">
        <f t="shared" si="1"/>
        <v>2020-05-15|Санкт-Петербург Юг</v>
      </c>
      <c r="B250" s="18">
        <v>43966.0</v>
      </c>
      <c r="C250" s="9" t="s">
        <v>15</v>
      </c>
      <c r="D250" s="9">
        <v>129.0</v>
      </c>
      <c r="E250" s="9">
        <v>17808.0</v>
      </c>
      <c r="F250" s="9">
        <v>16486.0</v>
      </c>
    </row>
    <row r="251" ht="14.25" customHeight="1">
      <c r="A251" s="6" t="str">
        <f t="shared" si="1"/>
        <v>2020-05-15|Тольятти</v>
      </c>
      <c r="B251" s="18">
        <v>43966.0</v>
      </c>
      <c r="C251" s="9" t="s">
        <v>13</v>
      </c>
      <c r="D251" s="9">
        <v>10.0</v>
      </c>
      <c r="E251" s="9">
        <v>743.0</v>
      </c>
      <c r="F251" s="9">
        <v>652.0</v>
      </c>
    </row>
    <row r="252" ht="14.25" customHeight="1">
      <c r="A252" s="6" t="str">
        <f t="shared" si="1"/>
        <v>2020-05-16|Волгоград</v>
      </c>
      <c r="B252" s="18">
        <v>43967.0</v>
      </c>
      <c r="C252" s="9" t="s">
        <v>17</v>
      </c>
      <c r="D252" s="9">
        <v>36.0</v>
      </c>
      <c r="E252" s="9">
        <v>5286.0</v>
      </c>
      <c r="F252" s="9">
        <v>4867.0</v>
      </c>
    </row>
    <row r="253" ht="14.25" customHeight="1">
      <c r="A253" s="6" t="str">
        <f t="shared" si="1"/>
        <v>2020-05-16|Екатеринбург</v>
      </c>
      <c r="B253" s="18">
        <v>43967.0</v>
      </c>
      <c r="C253" s="9" t="s">
        <v>12</v>
      </c>
      <c r="D253" s="9">
        <v>31.0</v>
      </c>
      <c r="E253" s="9">
        <v>5593.0</v>
      </c>
      <c r="F253" s="9">
        <v>5177.0</v>
      </c>
    </row>
    <row r="254" ht="14.25" customHeight="1">
      <c r="A254" s="6" t="str">
        <f t="shared" si="1"/>
        <v>2020-05-16|Казань</v>
      </c>
      <c r="B254" s="18">
        <v>43967.0</v>
      </c>
      <c r="C254" s="9" t="s">
        <v>18</v>
      </c>
      <c r="D254" s="9">
        <v>21.0</v>
      </c>
      <c r="E254" s="9">
        <v>2427.0</v>
      </c>
      <c r="F254" s="9">
        <v>2213.0</v>
      </c>
    </row>
    <row r="255" ht="14.25" customHeight="1">
      <c r="A255" s="6" t="str">
        <f t="shared" si="1"/>
        <v>2020-05-16|Кемерово</v>
      </c>
      <c r="B255" s="18">
        <v>43967.0</v>
      </c>
      <c r="C255" s="9" t="s">
        <v>11</v>
      </c>
      <c r="D255" s="9">
        <v>21.0</v>
      </c>
      <c r="E255" s="9">
        <v>2145.0</v>
      </c>
      <c r="F255" s="9">
        <v>1947.0</v>
      </c>
    </row>
    <row r="256" ht="14.25" customHeight="1">
      <c r="A256" s="6" t="str">
        <f t="shared" si="1"/>
        <v>2020-05-16|Краснодар</v>
      </c>
      <c r="B256" s="18">
        <v>43967.0</v>
      </c>
      <c r="C256" s="9" t="s">
        <v>21</v>
      </c>
      <c r="D256" s="9">
        <v>19.0</v>
      </c>
      <c r="E256" s="9">
        <v>2039.0</v>
      </c>
      <c r="F256" s="9">
        <v>1868.0</v>
      </c>
    </row>
    <row r="257" ht="14.25" customHeight="1">
      <c r="A257" s="6" t="str">
        <f t="shared" si="1"/>
        <v>2020-05-16|Москва Восток</v>
      </c>
      <c r="B257" s="18">
        <v>43967.0</v>
      </c>
      <c r="C257" s="9" t="s">
        <v>23</v>
      </c>
      <c r="D257" s="9">
        <v>54.0</v>
      </c>
      <c r="E257" s="9">
        <v>13170.0</v>
      </c>
      <c r="F257" s="9">
        <v>12299.0</v>
      </c>
    </row>
    <row r="258" ht="14.25" customHeight="1">
      <c r="A258" s="6" t="str">
        <f t="shared" si="1"/>
        <v>2020-05-16|Москва Запад</v>
      </c>
      <c r="B258" s="18">
        <v>43967.0</v>
      </c>
      <c r="C258" s="9" t="s">
        <v>22</v>
      </c>
      <c r="D258" s="9">
        <v>60.0</v>
      </c>
      <c r="E258" s="9">
        <v>14049.0</v>
      </c>
      <c r="F258" s="9">
        <v>13118.0</v>
      </c>
    </row>
    <row r="259" ht="14.25" customHeight="1">
      <c r="A259" s="6" t="str">
        <f t="shared" si="1"/>
        <v>2020-05-16|Нижний Новгород</v>
      </c>
      <c r="B259" s="18">
        <v>43967.0</v>
      </c>
      <c r="C259" s="9" t="s">
        <v>14</v>
      </c>
      <c r="D259" s="9">
        <v>19.0</v>
      </c>
      <c r="E259" s="9">
        <v>2080.0</v>
      </c>
      <c r="F259" s="9">
        <v>1844.0</v>
      </c>
    </row>
    <row r="260" ht="14.25" customHeight="1">
      <c r="A260" s="6" t="str">
        <f t="shared" si="1"/>
        <v>2020-05-16|Новосибирск</v>
      </c>
      <c r="B260" s="18">
        <v>43967.0</v>
      </c>
      <c r="C260" s="9" t="s">
        <v>24</v>
      </c>
      <c r="D260" s="9">
        <v>16.0</v>
      </c>
      <c r="E260" s="9">
        <v>920.0</v>
      </c>
      <c r="F260" s="9">
        <v>818.0</v>
      </c>
    </row>
    <row r="261" ht="14.25" customHeight="1">
      <c r="A261" s="6" t="str">
        <f t="shared" si="1"/>
        <v>2020-05-16|Пермь</v>
      </c>
      <c r="B261" s="18">
        <v>43967.0</v>
      </c>
      <c r="C261" s="9" t="s">
        <v>19</v>
      </c>
      <c r="D261" s="9">
        <v>15.0</v>
      </c>
      <c r="E261" s="9">
        <v>1111.0</v>
      </c>
      <c r="F261" s="9">
        <v>992.0</v>
      </c>
    </row>
    <row r="262" ht="14.25" customHeight="1">
      <c r="A262" s="6" t="str">
        <f t="shared" si="1"/>
        <v>2020-05-16|Ростов-на-Дону</v>
      </c>
      <c r="B262" s="18">
        <v>43967.0</v>
      </c>
      <c r="C262" s="9" t="s">
        <v>20</v>
      </c>
      <c r="D262" s="9">
        <v>15.0</v>
      </c>
      <c r="E262" s="9">
        <v>747.0</v>
      </c>
      <c r="F262" s="9">
        <v>647.0</v>
      </c>
    </row>
    <row r="263" ht="14.25" customHeight="1">
      <c r="A263" s="6" t="str">
        <f t="shared" si="1"/>
        <v>2020-05-16|Санкт-Петербург Север</v>
      </c>
      <c r="B263" s="18">
        <v>43967.0</v>
      </c>
      <c r="C263" s="9" t="s">
        <v>16</v>
      </c>
      <c r="D263" s="9">
        <v>125.0</v>
      </c>
      <c r="E263" s="9">
        <v>22291.0</v>
      </c>
      <c r="F263" s="9">
        <v>20635.0</v>
      </c>
    </row>
    <row r="264" ht="14.25" customHeight="1">
      <c r="A264" s="6" t="str">
        <f t="shared" si="1"/>
        <v>2020-05-16|Санкт-Петербург Юг</v>
      </c>
      <c r="B264" s="18">
        <v>43967.0</v>
      </c>
      <c r="C264" s="9" t="s">
        <v>15</v>
      </c>
      <c r="D264" s="9">
        <v>129.0</v>
      </c>
      <c r="E264" s="9">
        <v>17914.0</v>
      </c>
      <c r="F264" s="9">
        <v>16631.0</v>
      </c>
    </row>
    <row r="265" ht="14.25" customHeight="1">
      <c r="A265" s="6" t="str">
        <f t="shared" si="1"/>
        <v>2020-05-16|Тольятти</v>
      </c>
      <c r="B265" s="18">
        <v>43967.0</v>
      </c>
      <c r="C265" s="9" t="s">
        <v>13</v>
      </c>
      <c r="D265" s="9">
        <v>10.0</v>
      </c>
      <c r="E265" s="9">
        <v>760.0</v>
      </c>
      <c r="F265" s="9">
        <v>672.0</v>
      </c>
    </row>
    <row r="266" ht="14.25" customHeight="1">
      <c r="A266" s="6" t="str">
        <f t="shared" si="1"/>
        <v>2020-05-17|Волгоград</v>
      </c>
      <c r="B266" s="18">
        <v>43968.0</v>
      </c>
      <c r="C266" s="9" t="s">
        <v>17</v>
      </c>
      <c r="D266" s="9">
        <v>36.0</v>
      </c>
      <c r="E266" s="9">
        <v>4918.0</v>
      </c>
      <c r="F266" s="9">
        <v>4554.0</v>
      </c>
    </row>
    <row r="267" ht="14.25" customHeight="1">
      <c r="A267" s="6" t="str">
        <f t="shared" si="1"/>
        <v>2020-05-17|Екатеринбург</v>
      </c>
      <c r="B267" s="18">
        <v>43968.0</v>
      </c>
      <c r="C267" s="9" t="s">
        <v>12</v>
      </c>
      <c r="D267" s="9">
        <v>31.0</v>
      </c>
      <c r="E267" s="9">
        <v>5206.0</v>
      </c>
      <c r="F267" s="9">
        <v>4843.0</v>
      </c>
    </row>
    <row r="268" ht="14.25" customHeight="1">
      <c r="A268" s="6" t="str">
        <f t="shared" si="1"/>
        <v>2020-05-17|Казань</v>
      </c>
      <c r="B268" s="18">
        <v>43968.0</v>
      </c>
      <c r="C268" s="9" t="s">
        <v>18</v>
      </c>
      <c r="D268" s="9">
        <v>21.0</v>
      </c>
      <c r="E268" s="9">
        <v>2054.0</v>
      </c>
      <c r="F268" s="9">
        <v>1883.0</v>
      </c>
    </row>
    <row r="269" ht="14.25" customHeight="1">
      <c r="A269" s="6" t="str">
        <f t="shared" si="1"/>
        <v>2020-05-17|Кемерово</v>
      </c>
      <c r="B269" s="18">
        <v>43968.0</v>
      </c>
      <c r="C269" s="9" t="s">
        <v>11</v>
      </c>
      <c r="D269" s="9">
        <v>21.0</v>
      </c>
      <c r="E269" s="9">
        <v>1874.0</v>
      </c>
      <c r="F269" s="9">
        <v>1705.0</v>
      </c>
    </row>
    <row r="270" ht="14.25" customHeight="1">
      <c r="A270" s="6" t="str">
        <f t="shared" si="1"/>
        <v>2020-05-17|Краснодар</v>
      </c>
      <c r="B270" s="18">
        <v>43968.0</v>
      </c>
      <c r="C270" s="9" t="s">
        <v>21</v>
      </c>
      <c r="D270" s="9">
        <v>19.0</v>
      </c>
      <c r="E270" s="9">
        <v>1790.0</v>
      </c>
      <c r="F270" s="9">
        <v>1633.0</v>
      </c>
    </row>
    <row r="271" ht="14.25" customHeight="1">
      <c r="A271" s="6" t="str">
        <f t="shared" si="1"/>
        <v>2020-05-17|Москва Восток</v>
      </c>
      <c r="B271" s="18">
        <v>43968.0</v>
      </c>
      <c r="C271" s="9" t="s">
        <v>23</v>
      </c>
      <c r="D271" s="9">
        <v>54.0</v>
      </c>
      <c r="E271" s="9">
        <v>11128.0</v>
      </c>
      <c r="F271" s="9">
        <v>10467.0</v>
      </c>
    </row>
    <row r="272" ht="14.25" customHeight="1">
      <c r="A272" s="6" t="str">
        <f t="shared" si="1"/>
        <v>2020-05-17|Москва Запад</v>
      </c>
      <c r="B272" s="18">
        <v>43968.0</v>
      </c>
      <c r="C272" s="9" t="s">
        <v>22</v>
      </c>
      <c r="D272" s="9">
        <v>60.0</v>
      </c>
      <c r="E272" s="9">
        <v>11698.0</v>
      </c>
      <c r="F272" s="9">
        <v>10989.0</v>
      </c>
    </row>
    <row r="273" ht="14.25" customHeight="1">
      <c r="A273" s="6" t="str">
        <f t="shared" si="1"/>
        <v>2020-05-17|Нижний Новгород</v>
      </c>
      <c r="B273" s="18">
        <v>43968.0</v>
      </c>
      <c r="C273" s="9" t="s">
        <v>14</v>
      </c>
      <c r="D273" s="9">
        <v>19.0</v>
      </c>
      <c r="E273" s="9">
        <v>1871.0</v>
      </c>
      <c r="F273" s="9">
        <v>1660.0</v>
      </c>
    </row>
    <row r="274" ht="14.25" customHeight="1">
      <c r="A274" s="6" t="str">
        <f t="shared" si="1"/>
        <v>2020-05-17|Новосибирск</v>
      </c>
      <c r="B274" s="18">
        <v>43968.0</v>
      </c>
      <c r="C274" s="9" t="s">
        <v>24</v>
      </c>
      <c r="D274" s="9">
        <v>16.0</v>
      </c>
      <c r="E274" s="9">
        <v>859.0</v>
      </c>
      <c r="F274" s="9">
        <v>746.0</v>
      </c>
    </row>
    <row r="275" ht="14.25" customHeight="1">
      <c r="A275" s="6" t="str">
        <f t="shared" si="1"/>
        <v>2020-05-17|Пермь</v>
      </c>
      <c r="B275" s="18">
        <v>43968.0</v>
      </c>
      <c r="C275" s="9" t="s">
        <v>19</v>
      </c>
      <c r="D275" s="9">
        <v>15.0</v>
      </c>
      <c r="E275" s="9">
        <v>971.0</v>
      </c>
      <c r="F275" s="9">
        <v>856.0</v>
      </c>
    </row>
    <row r="276" ht="14.25" customHeight="1">
      <c r="A276" s="6" t="str">
        <f t="shared" si="1"/>
        <v>2020-05-17|Ростов-на-Дону</v>
      </c>
      <c r="B276" s="18">
        <v>43968.0</v>
      </c>
      <c r="C276" s="9" t="s">
        <v>20</v>
      </c>
      <c r="D276" s="9">
        <v>15.0</v>
      </c>
      <c r="E276" s="9">
        <v>692.0</v>
      </c>
      <c r="F276" s="9">
        <v>591.0</v>
      </c>
    </row>
    <row r="277" ht="14.25" customHeight="1">
      <c r="A277" s="6" t="str">
        <f t="shared" si="1"/>
        <v>2020-05-17|Санкт-Петербург Север</v>
      </c>
      <c r="B277" s="18">
        <v>43968.0</v>
      </c>
      <c r="C277" s="9" t="s">
        <v>16</v>
      </c>
      <c r="D277" s="9">
        <v>125.0</v>
      </c>
      <c r="E277" s="9">
        <v>20079.0</v>
      </c>
      <c r="F277" s="9">
        <v>18721.0</v>
      </c>
    </row>
    <row r="278" ht="14.25" customHeight="1">
      <c r="A278" s="6" t="str">
        <f t="shared" si="1"/>
        <v>2020-05-17|Санкт-Петербург Юг</v>
      </c>
      <c r="B278" s="18">
        <v>43968.0</v>
      </c>
      <c r="C278" s="9" t="s">
        <v>15</v>
      </c>
      <c r="D278" s="9">
        <v>129.0</v>
      </c>
      <c r="E278" s="9">
        <v>15744.0</v>
      </c>
      <c r="F278" s="9">
        <v>14685.0</v>
      </c>
    </row>
    <row r="279" ht="14.25" customHeight="1">
      <c r="A279" s="6" t="str">
        <f t="shared" si="1"/>
        <v>2020-05-17|Тольятти</v>
      </c>
      <c r="B279" s="18">
        <v>43968.0</v>
      </c>
      <c r="C279" s="9" t="s">
        <v>13</v>
      </c>
      <c r="D279" s="9">
        <v>10.0</v>
      </c>
      <c r="E279" s="9">
        <v>591.0</v>
      </c>
      <c r="F279" s="9">
        <v>513.0</v>
      </c>
    </row>
    <row r="280" ht="14.25" customHeight="1">
      <c r="A280" s="6" t="str">
        <f t="shared" si="1"/>
        <v>2020-05-18|Волгоград</v>
      </c>
      <c r="B280" s="18">
        <v>43969.0</v>
      </c>
      <c r="C280" s="9" t="s">
        <v>17</v>
      </c>
      <c r="D280" s="9">
        <v>36.0</v>
      </c>
      <c r="E280" s="9">
        <v>4885.0</v>
      </c>
      <c r="F280" s="9">
        <v>4502.0</v>
      </c>
    </row>
    <row r="281" ht="14.25" customHeight="1">
      <c r="A281" s="6" t="str">
        <f t="shared" si="1"/>
        <v>2020-05-18|Екатеринбург</v>
      </c>
      <c r="B281" s="18">
        <v>43969.0</v>
      </c>
      <c r="C281" s="9" t="s">
        <v>12</v>
      </c>
      <c r="D281" s="9">
        <v>31.0</v>
      </c>
      <c r="E281" s="9">
        <v>5165.0</v>
      </c>
      <c r="F281" s="9">
        <v>4813.0</v>
      </c>
    </row>
    <row r="282" ht="14.25" customHeight="1">
      <c r="A282" s="6" t="str">
        <f t="shared" si="1"/>
        <v>2020-05-18|Казань</v>
      </c>
      <c r="B282" s="18">
        <v>43969.0</v>
      </c>
      <c r="C282" s="9" t="s">
        <v>18</v>
      </c>
      <c r="D282" s="9">
        <v>21.0</v>
      </c>
      <c r="E282" s="9">
        <v>2136.0</v>
      </c>
      <c r="F282" s="9">
        <v>1947.0</v>
      </c>
    </row>
    <row r="283" ht="14.25" customHeight="1">
      <c r="A283" s="6" t="str">
        <f t="shared" si="1"/>
        <v>2020-05-18|Кемерово</v>
      </c>
      <c r="B283" s="18">
        <v>43969.0</v>
      </c>
      <c r="C283" s="9" t="s">
        <v>11</v>
      </c>
      <c r="D283" s="9">
        <v>21.0</v>
      </c>
      <c r="E283" s="9">
        <v>1834.0</v>
      </c>
      <c r="F283" s="9">
        <v>1660.0</v>
      </c>
    </row>
    <row r="284" ht="14.25" customHeight="1">
      <c r="A284" s="6" t="str">
        <f t="shared" si="1"/>
        <v>2020-05-18|Краснодар</v>
      </c>
      <c r="B284" s="18">
        <v>43969.0</v>
      </c>
      <c r="C284" s="9" t="s">
        <v>21</v>
      </c>
      <c r="D284" s="9">
        <v>19.0</v>
      </c>
      <c r="E284" s="9">
        <v>1741.0</v>
      </c>
      <c r="F284" s="9">
        <v>1597.0</v>
      </c>
    </row>
    <row r="285" ht="14.25" customHeight="1">
      <c r="A285" s="6" t="str">
        <f t="shared" si="1"/>
        <v>2020-05-18|Москва Восток</v>
      </c>
      <c r="B285" s="18">
        <v>43969.0</v>
      </c>
      <c r="C285" s="9" t="s">
        <v>23</v>
      </c>
      <c r="D285" s="9">
        <v>54.0</v>
      </c>
      <c r="E285" s="9">
        <v>12012.0</v>
      </c>
      <c r="F285" s="9">
        <v>11308.0</v>
      </c>
    </row>
    <row r="286" ht="14.25" customHeight="1">
      <c r="A286" s="6" t="str">
        <f t="shared" si="1"/>
        <v>2020-05-18|Москва Запад</v>
      </c>
      <c r="B286" s="18">
        <v>43969.0</v>
      </c>
      <c r="C286" s="9" t="s">
        <v>22</v>
      </c>
      <c r="D286" s="9">
        <v>60.0</v>
      </c>
      <c r="E286" s="9">
        <v>12460.0</v>
      </c>
      <c r="F286" s="9">
        <v>11665.0</v>
      </c>
    </row>
    <row r="287" ht="14.25" customHeight="1">
      <c r="A287" s="6" t="str">
        <f t="shared" si="1"/>
        <v>2020-05-18|Нижний Новгород</v>
      </c>
      <c r="B287" s="18">
        <v>43969.0</v>
      </c>
      <c r="C287" s="9" t="s">
        <v>14</v>
      </c>
      <c r="D287" s="9">
        <v>19.0</v>
      </c>
      <c r="E287" s="9">
        <v>1858.0</v>
      </c>
      <c r="F287" s="9">
        <v>1648.0</v>
      </c>
    </row>
    <row r="288" ht="14.25" customHeight="1">
      <c r="A288" s="6" t="str">
        <f t="shared" si="1"/>
        <v>2020-05-18|Новосибирск</v>
      </c>
      <c r="B288" s="18">
        <v>43969.0</v>
      </c>
      <c r="C288" s="9" t="s">
        <v>24</v>
      </c>
      <c r="D288" s="9">
        <v>16.0</v>
      </c>
      <c r="E288" s="9">
        <v>864.0</v>
      </c>
      <c r="F288" s="9">
        <v>765.0</v>
      </c>
    </row>
    <row r="289" ht="14.25" customHeight="1">
      <c r="A289" s="6" t="str">
        <f t="shared" si="1"/>
        <v>2020-05-18|Пермь</v>
      </c>
      <c r="B289" s="18">
        <v>43969.0</v>
      </c>
      <c r="C289" s="9" t="s">
        <v>19</v>
      </c>
      <c r="D289" s="9">
        <v>16.0</v>
      </c>
      <c r="E289" s="9">
        <v>925.0</v>
      </c>
      <c r="F289" s="9">
        <v>816.0</v>
      </c>
    </row>
    <row r="290" ht="14.25" customHeight="1">
      <c r="A290" s="6" t="str">
        <f t="shared" si="1"/>
        <v>2020-05-18|Ростов-на-Дону</v>
      </c>
      <c r="B290" s="18">
        <v>43969.0</v>
      </c>
      <c r="C290" s="9" t="s">
        <v>20</v>
      </c>
      <c r="D290" s="9">
        <v>15.0</v>
      </c>
      <c r="E290" s="9">
        <v>729.0</v>
      </c>
      <c r="F290" s="9">
        <v>636.0</v>
      </c>
    </row>
    <row r="291" ht="14.25" customHeight="1">
      <c r="A291" s="6" t="str">
        <f t="shared" si="1"/>
        <v>2020-05-18|Санкт-Петербург Север</v>
      </c>
      <c r="B291" s="18">
        <v>43969.0</v>
      </c>
      <c r="C291" s="9" t="s">
        <v>16</v>
      </c>
      <c r="D291" s="9">
        <v>125.0</v>
      </c>
      <c r="E291" s="9">
        <v>20449.0</v>
      </c>
      <c r="F291" s="9">
        <v>19060.0</v>
      </c>
    </row>
    <row r="292" ht="14.25" customHeight="1">
      <c r="A292" s="6" t="str">
        <f t="shared" si="1"/>
        <v>2020-05-18|Санкт-Петербург Юг</v>
      </c>
      <c r="B292" s="18">
        <v>43969.0</v>
      </c>
      <c r="C292" s="9" t="s">
        <v>15</v>
      </c>
      <c r="D292" s="9">
        <v>129.0</v>
      </c>
      <c r="E292" s="9">
        <v>16110.0</v>
      </c>
      <c r="F292" s="9">
        <v>14992.0</v>
      </c>
    </row>
    <row r="293" ht="14.25" customHeight="1">
      <c r="A293" s="6" t="str">
        <f t="shared" si="1"/>
        <v>2020-05-18|Тольятти</v>
      </c>
      <c r="B293" s="18">
        <v>43969.0</v>
      </c>
      <c r="C293" s="9" t="s">
        <v>13</v>
      </c>
      <c r="D293" s="9">
        <v>10.0</v>
      </c>
      <c r="E293" s="9">
        <v>645.0</v>
      </c>
      <c r="F293" s="9">
        <v>565.0</v>
      </c>
    </row>
    <row r="294" ht="14.25" customHeight="1">
      <c r="A294" s="6" t="str">
        <f t="shared" si="1"/>
        <v>2020-05-19|Волгоград</v>
      </c>
      <c r="B294" s="18">
        <v>43970.0</v>
      </c>
      <c r="C294" s="9" t="s">
        <v>17</v>
      </c>
      <c r="D294" s="9">
        <v>36.0</v>
      </c>
      <c r="E294" s="9">
        <v>5094.0</v>
      </c>
      <c r="F294" s="9">
        <v>4716.0</v>
      </c>
    </row>
    <row r="295" ht="14.25" customHeight="1">
      <c r="A295" s="6" t="str">
        <f t="shared" si="1"/>
        <v>2020-05-19|Екатеринбург</v>
      </c>
      <c r="B295" s="18">
        <v>43970.0</v>
      </c>
      <c r="C295" s="9" t="s">
        <v>12</v>
      </c>
      <c r="D295" s="9">
        <v>31.0</v>
      </c>
      <c r="E295" s="9">
        <v>5389.0</v>
      </c>
      <c r="F295" s="9">
        <v>5024.0</v>
      </c>
    </row>
    <row r="296" ht="14.25" customHeight="1">
      <c r="A296" s="6" t="str">
        <f t="shared" si="1"/>
        <v>2020-05-19|Казань</v>
      </c>
      <c r="B296" s="18">
        <v>43970.0</v>
      </c>
      <c r="C296" s="9" t="s">
        <v>18</v>
      </c>
      <c r="D296" s="9">
        <v>21.0</v>
      </c>
      <c r="E296" s="9">
        <v>2245.0</v>
      </c>
      <c r="F296" s="9">
        <v>2053.0</v>
      </c>
    </row>
    <row r="297" ht="14.25" customHeight="1">
      <c r="A297" s="6" t="str">
        <f t="shared" si="1"/>
        <v>2020-05-19|Кемерово</v>
      </c>
      <c r="B297" s="18">
        <v>43970.0</v>
      </c>
      <c r="C297" s="9" t="s">
        <v>11</v>
      </c>
      <c r="D297" s="9">
        <v>21.0</v>
      </c>
      <c r="E297" s="9">
        <v>1860.0</v>
      </c>
      <c r="F297" s="9">
        <v>1704.0</v>
      </c>
    </row>
    <row r="298" ht="14.25" customHeight="1">
      <c r="A298" s="6" t="str">
        <f t="shared" si="1"/>
        <v>2020-05-19|Краснодар</v>
      </c>
      <c r="B298" s="18">
        <v>43970.0</v>
      </c>
      <c r="C298" s="9" t="s">
        <v>21</v>
      </c>
      <c r="D298" s="9">
        <v>19.0</v>
      </c>
      <c r="E298" s="9">
        <v>1831.0</v>
      </c>
      <c r="F298" s="9">
        <v>1667.0</v>
      </c>
    </row>
    <row r="299" ht="14.25" customHeight="1">
      <c r="A299" s="6" t="str">
        <f t="shared" si="1"/>
        <v>2020-05-19|Москва Восток</v>
      </c>
      <c r="B299" s="18">
        <v>43970.0</v>
      </c>
      <c r="C299" s="9" t="s">
        <v>23</v>
      </c>
      <c r="D299" s="9">
        <v>54.0</v>
      </c>
      <c r="E299" s="9">
        <v>13070.0</v>
      </c>
      <c r="F299" s="9">
        <v>12244.0</v>
      </c>
    </row>
    <row r="300" ht="14.25" customHeight="1">
      <c r="A300" s="6" t="str">
        <f t="shared" si="1"/>
        <v>2020-05-19|Москва Запад</v>
      </c>
      <c r="B300" s="18">
        <v>43970.0</v>
      </c>
      <c r="C300" s="9" t="s">
        <v>22</v>
      </c>
      <c r="D300" s="9">
        <v>60.0</v>
      </c>
      <c r="E300" s="9">
        <v>13867.0</v>
      </c>
      <c r="F300" s="9">
        <v>12987.0</v>
      </c>
    </row>
    <row r="301" ht="14.25" customHeight="1">
      <c r="A301" s="6" t="str">
        <f t="shared" si="1"/>
        <v>2020-05-19|Нижний Новгород</v>
      </c>
      <c r="B301" s="18">
        <v>43970.0</v>
      </c>
      <c r="C301" s="9" t="s">
        <v>14</v>
      </c>
      <c r="D301" s="9">
        <v>19.0</v>
      </c>
      <c r="E301" s="9">
        <v>1999.0</v>
      </c>
      <c r="F301" s="9">
        <v>1799.0</v>
      </c>
    </row>
    <row r="302" ht="14.25" customHeight="1">
      <c r="A302" s="6" t="str">
        <f t="shared" si="1"/>
        <v>2020-05-19|Новосибирск</v>
      </c>
      <c r="B302" s="18">
        <v>43970.0</v>
      </c>
      <c r="C302" s="9" t="s">
        <v>24</v>
      </c>
      <c r="D302" s="9">
        <v>17.0</v>
      </c>
      <c r="E302" s="9">
        <v>857.0</v>
      </c>
      <c r="F302" s="9">
        <v>757.0</v>
      </c>
    </row>
    <row r="303" ht="14.25" customHeight="1">
      <c r="A303" s="6" t="str">
        <f t="shared" si="1"/>
        <v>2020-05-19|Пермь</v>
      </c>
      <c r="B303" s="18">
        <v>43970.0</v>
      </c>
      <c r="C303" s="9" t="s">
        <v>19</v>
      </c>
      <c r="D303" s="9">
        <v>16.0</v>
      </c>
      <c r="E303" s="9">
        <v>1012.0</v>
      </c>
      <c r="F303" s="9">
        <v>900.0</v>
      </c>
    </row>
    <row r="304" ht="14.25" customHeight="1">
      <c r="A304" s="6" t="str">
        <f t="shared" si="1"/>
        <v>2020-05-19|Ростов-на-Дону</v>
      </c>
      <c r="B304" s="18">
        <v>43970.0</v>
      </c>
      <c r="C304" s="9" t="s">
        <v>20</v>
      </c>
      <c r="D304" s="9">
        <v>15.0</v>
      </c>
      <c r="E304" s="9">
        <v>930.0</v>
      </c>
      <c r="F304" s="9">
        <v>827.0</v>
      </c>
    </row>
    <row r="305" ht="14.25" customHeight="1">
      <c r="A305" s="6" t="str">
        <f t="shared" si="1"/>
        <v>2020-05-19|Санкт-Петербург Север</v>
      </c>
      <c r="B305" s="18">
        <v>43970.0</v>
      </c>
      <c r="C305" s="9" t="s">
        <v>16</v>
      </c>
      <c r="D305" s="9">
        <v>125.0</v>
      </c>
      <c r="E305" s="9">
        <v>20771.0</v>
      </c>
      <c r="F305" s="9">
        <v>19338.0</v>
      </c>
    </row>
    <row r="306" ht="14.25" customHeight="1">
      <c r="A306" s="6" t="str">
        <f t="shared" si="1"/>
        <v>2020-05-19|Санкт-Петербург Юг</v>
      </c>
      <c r="B306" s="18">
        <v>43970.0</v>
      </c>
      <c r="C306" s="9" t="s">
        <v>15</v>
      </c>
      <c r="D306" s="9">
        <v>129.0</v>
      </c>
      <c r="E306" s="9">
        <v>16191.0</v>
      </c>
      <c r="F306" s="9">
        <v>15102.0</v>
      </c>
    </row>
    <row r="307" ht="14.25" customHeight="1">
      <c r="A307" s="6" t="str">
        <f t="shared" si="1"/>
        <v>2020-05-19|Тольятти</v>
      </c>
      <c r="B307" s="18">
        <v>43970.0</v>
      </c>
      <c r="C307" s="9" t="s">
        <v>13</v>
      </c>
      <c r="D307" s="9">
        <v>10.0</v>
      </c>
      <c r="E307" s="9">
        <v>649.0</v>
      </c>
      <c r="F307" s="9">
        <v>568.0</v>
      </c>
    </row>
    <row r="308" ht="14.25" customHeight="1">
      <c r="A308" s="6" t="str">
        <f t="shared" si="1"/>
        <v>2020-05-20|Волгоград</v>
      </c>
      <c r="B308" s="18">
        <v>43971.0</v>
      </c>
      <c r="C308" s="9" t="s">
        <v>17</v>
      </c>
      <c r="D308" s="9">
        <v>36.0</v>
      </c>
      <c r="E308" s="9">
        <v>5914.0</v>
      </c>
      <c r="F308" s="9">
        <v>5384.0</v>
      </c>
    </row>
    <row r="309" ht="14.25" customHeight="1">
      <c r="A309" s="6" t="str">
        <f t="shared" si="1"/>
        <v>2020-05-20|Екатеринбург</v>
      </c>
      <c r="B309" s="18">
        <v>43971.0</v>
      </c>
      <c r="C309" s="9" t="s">
        <v>12</v>
      </c>
      <c r="D309" s="9">
        <v>31.0</v>
      </c>
      <c r="E309" s="9">
        <v>5698.0</v>
      </c>
      <c r="F309" s="9">
        <v>5258.0</v>
      </c>
    </row>
    <row r="310" ht="14.25" customHeight="1">
      <c r="A310" s="6" t="str">
        <f t="shared" si="1"/>
        <v>2020-05-20|Казань</v>
      </c>
      <c r="B310" s="18">
        <v>43971.0</v>
      </c>
      <c r="C310" s="9" t="s">
        <v>18</v>
      </c>
      <c r="D310" s="9">
        <v>21.0</v>
      </c>
      <c r="E310" s="9">
        <v>2410.0</v>
      </c>
      <c r="F310" s="9">
        <v>2202.0</v>
      </c>
    </row>
    <row r="311" ht="14.25" customHeight="1">
      <c r="A311" s="6" t="str">
        <f t="shared" si="1"/>
        <v>2020-05-20|Кемерово</v>
      </c>
      <c r="B311" s="18">
        <v>43971.0</v>
      </c>
      <c r="C311" s="9" t="s">
        <v>11</v>
      </c>
      <c r="D311" s="9">
        <v>21.0</v>
      </c>
      <c r="E311" s="9">
        <v>1921.0</v>
      </c>
      <c r="F311" s="9">
        <v>1767.0</v>
      </c>
    </row>
    <row r="312" ht="14.25" customHeight="1">
      <c r="A312" s="6" t="str">
        <f t="shared" si="1"/>
        <v>2020-05-20|Краснодар</v>
      </c>
      <c r="B312" s="18">
        <v>43971.0</v>
      </c>
      <c r="C312" s="9" t="s">
        <v>21</v>
      </c>
      <c r="D312" s="9">
        <v>19.0</v>
      </c>
      <c r="E312" s="9">
        <v>1823.0</v>
      </c>
      <c r="F312" s="9">
        <v>1678.0</v>
      </c>
    </row>
    <row r="313" ht="14.25" customHeight="1">
      <c r="A313" s="6" t="str">
        <f t="shared" si="1"/>
        <v>2020-05-20|Москва Восток</v>
      </c>
      <c r="B313" s="18">
        <v>43971.0</v>
      </c>
      <c r="C313" s="9" t="s">
        <v>23</v>
      </c>
      <c r="D313" s="9">
        <v>54.0</v>
      </c>
      <c r="E313" s="9">
        <v>13298.0</v>
      </c>
      <c r="F313" s="9">
        <v>12428.0</v>
      </c>
    </row>
    <row r="314" ht="14.25" customHeight="1">
      <c r="A314" s="6" t="str">
        <f t="shared" si="1"/>
        <v>2020-05-20|Москва Запад</v>
      </c>
      <c r="B314" s="18">
        <v>43971.0</v>
      </c>
      <c r="C314" s="9" t="s">
        <v>22</v>
      </c>
      <c r="D314" s="9">
        <v>60.0</v>
      </c>
      <c r="E314" s="9">
        <v>13792.0</v>
      </c>
      <c r="F314" s="9">
        <v>12834.0</v>
      </c>
    </row>
    <row r="315" ht="14.25" customHeight="1">
      <c r="A315" s="6" t="str">
        <f t="shared" si="1"/>
        <v>2020-05-20|Нижний Новгород</v>
      </c>
      <c r="B315" s="18">
        <v>43971.0</v>
      </c>
      <c r="C315" s="9" t="s">
        <v>14</v>
      </c>
      <c r="D315" s="9">
        <v>19.0</v>
      </c>
      <c r="E315" s="9">
        <v>1889.0</v>
      </c>
      <c r="F315" s="9">
        <v>1690.0</v>
      </c>
    </row>
    <row r="316" ht="14.25" customHeight="1">
      <c r="A316" s="6" t="str">
        <f t="shared" si="1"/>
        <v>2020-05-20|Новосибирск</v>
      </c>
      <c r="B316" s="18">
        <v>43971.0</v>
      </c>
      <c r="C316" s="9" t="s">
        <v>24</v>
      </c>
      <c r="D316" s="9">
        <v>17.0</v>
      </c>
      <c r="E316" s="9">
        <v>890.0</v>
      </c>
      <c r="F316" s="9">
        <v>794.0</v>
      </c>
    </row>
    <row r="317" ht="14.25" customHeight="1">
      <c r="A317" s="6" t="str">
        <f t="shared" si="1"/>
        <v>2020-05-20|Пермь</v>
      </c>
      <c r="B317" s="18">
        <v>43971.0</v>
      </c>
      <c r="C317" s="9" t="s">
        <v>19</v>
      </c>
      <c r="D317" s="9">
        <v>16.0</v>
      </c>
      <c r="E317" s="9">
        <v>1050.0</v>
      </c>
      <c r="F317" s="9">
        <v>938.0</v>
      </c>
    </row>
    <row r="318" ht="14.25" customHeight="1">
      <c r="A318" s="6" t="str">
        <f t="shared" si="1"/>
        <v>2020-05-20|Ростов-на-Дону</v>
      </c>
      <c r="B318" s="18">
        <v>43971.0</v>
      </c>
      <c r="C318" s="9" t="s">
        <v>20</v>
      </c>
      <c r="D318" s="9">
        <v>15.0</v>
      </c>
      <c r="E318" s="9">
        <v>760.0</v>
      </c>
      <c r="F318" s="9">
        <v>664.0</v>
      </c>
    </row>
    <row r="319" ht="14.25" customHeight="1">
      <c r="A319" s="6" t="str">
        <f t="shared" si="1"/>
        <v>2020-05-20|Санкт-Петербург Север</v>
      </c>
      <c r="B319" s="18">
        <v>43971.0</v>
      </c>
      <c r="C319" s="9" t="s">
        <v>16</v>
      </c>
      <c r="D319" s="9">
        <v>125.0</v>
      </c>
      <c r="E319" s="9">
        <v>21674.0</v>
      </c>
      <c r="F319" s="9">
        <v>20155.0</v>
      </c>
    </row>
    <row r="320" ht="14.25" customHeight="1">
      <c r="A320" s="6" t="str">
        <f t="shared" si="1"/>
        <v>2020-05-20|Санкт-Петербург Юг</v>
      </c>
      <c r="B320" s="18">
        <v>43971.0</v>
      </c>
      <c r="C320" s="9" t="s">
        <v>15</v>
      </c>
      <c r="D320" s="9">
        <v>129.0</v>
      </c>
      <c r="E320" s="9">
        <v>17095.0</v>
      </c>
      <c r="F320" s="9">
        <v>15919.0</v>
      </c>
    </row>
    <row r="321" ht="14.25" customHeight="1">
      <c r="A321" s="6" t="str">
        <f t="shared" si="1"/>
        <v>2020-05-20|Тольятти</v>
      </c>
      <c r="B321" s="18">
        <v>43971.0</v>
      </c>
      <c r="C321" s="9" t="s">
        <v>13</v>
      </c>
      <c r="D321" s="9">
        <v>10.0</v>
      </c>
      <c r="E321" s="9">
        <v>745.0</v>
      </c>
      <c r="F321" s="9">
        <v>654.0</v>
      </c>
    </row>
    <row r="322" ht="14.25" customHeight="1">
      <c r="A322" s="6" t="str">
        <f t="shared" si="1"/>
        <v>2020-05-21|Волгоград</v>
      </c>
      <c r="B322" s="18">
        <v>43972.0</v>
      </c>
      <c r="C322" s="9" t="s">
        <v>17</v>
      </c>
      <c r="D322" s="9">
        <v>36.0</v>
      </c>
      <c r="E322" s="9">
        <v>4816.0</v>
      </c>
      <c r="F322" s="9">
        <v>4452.0</v>
      </c>
    </row>
    <row r="323" ht="14.25" customHeight="1">
      <c r="A323" s="6" t="str">
        <f t="shared" si="1"/>
        <v>2020-05-21|Екатеринбург</v>
      </c>
      <c r="B323" s="18">
        <v>43972.0</v>
      </c>
      <c r="C323" s="9" t="s">
        <v>12</v>
      </c>
      <c r="D323" s="9">
        <v>31.0</v>
      </c>
      <c r="E323" s="9">
        <v>5207.0</v>
      </c>
      <c r="F323" s="9">
        <v>4868.0</v>
      </c>
    </row>
    <row r="324" ht="14.25" customHeight="1">
      <c r="A324" s="6" t="str">
        <f t="shared" si="1"/>
        <v>2020-05-21|Казань</v>
      </c>
      <c r="B324" s="18">
        <v>43972.0</v>
      </c>
      <c r="C324" s="9" t="s">
        <v>18</v>
      </c>
      <c r="D324" s="9">
        <v>21.0</v>
      </c>
      <c r="E324" s="9">
        <v>2335.0</v>
      </c>
      <c r="F324" s="9">
        <v>2126.0</v>
      </c>
    </row>
    <row r="325" ht="14.25" customHeight="1">
      <c r="A325" s="6" t="str">
        <f t="shared" si="1"/>
        <v>2020-05-21|Кемерово</v>
      </c>
      <c r="B325" s="18">
        <v>43972.0</v>
      </c>
      <c r="C325" s="9" t="s">
        <v>11</v>
      </c>
      <c r="D325" s="9">
        <v>21.0</v>
      </c>
      <c r="E325" s="9">
        <v>1787.0</v>
      </c>
      <c r="F325" s="9">
        <v>1626.0</v>
      </c>
    </row>
    <row r="326" ht="14.25" customHeight="1">
      <c r="A326" s="6" t="str">
        <f t="shared" si="1"/>
        <v>2020-05-21|Краснодар</v>
      </c>
      <c r="B326" s="18">
        <v>43972.0</v>
      </c>
      <c r="C326" s="9" t="s">
        <v>21</v>
      </c>
      <c r="D326" s="9">
        <v>19.0</v>
      </c>
      <c r="E326" s="9">
        <v>1650.0</v>
      </c>
      <c r="F326" s="9">
        <v>1505.0</v>
      </c>
    </row>
    <row r="327" ht="14.25" customHeight="1">
      <c r="A327" s="6" t="str">
        <f t="shared" si="1"/>
        <v>2020-05-21|Москва Восток</v>
      </c>
      <c r="B327" s="18">
        <v>43972.0</v>
      </c>
      <c r="C327" s="9" t="s">
        <v>23</v>
      </c>
      <c r="D327" s="9">
        <v>54.0</v>
      </c>
      <c r="E327" s="9">
        <v>13240.0</v>
      </c>
      <c r="F327" s="9">
        <v>12360.0</v>
      </c>
    </row>
    <row r="328" ht="14.25" customHeight="1">
      <c r="A328" s="6" t="str">
        <f t="shared" si="1"/>
        <v>2020-05-21|Москва Запад</v>
      </c>
      <c r="B328" s="18">
        <v>43972.0</v>
      </c>
      <c r="C328" s="9" t="s">
        <v>22</v>
      </c>
      <c r="D328" s="9">
        <v>60.0</v>
      </c>
      <c r="E328" s="9">
        <v>14005.0</v>
      </c>
      <c r="F328" s="9">
        <v>13002.0</v>
      </c>
    </row>
    <row r="329" ht="14.25" customHeight="1">
      <c r="A329" s="6" t="str">
        <f t="shared" si="1"/>
        <v>2020-05-21|Нижний Новгород</v>
      </c>
      <c r="B329" s="18">
        <v>43972.0</v>
      </c>
      <c r="C329" s="9" t="s">
        <v>14</v>
      </c>
      <c r="D329" s="9">
        <v>19.0</v>
      </c>
      <c r="E329" s="9">
        <v>1949.0</v>
      </c>
      <c r="F329" s="9">
        <v>1724.0</v>
      </c>
    </row>
    <row r="330" ht="14.25" customHeight="1">
      <c r="A330" s="6" t="str">
        <f t="shared" si="1"/>
        <v>2020-05-21|Новосибирск</v>
      </c>
      <c r="B330" s="18">
        <v>43972.0</v>
      </c>
      <c r="C330" s="9" t="s">
        <v>24</v>
      </c>
      <c r="D330" s="9">
        <v>18.0</v>
      </c>
      <c r="E330" s="9">
        <v>888.0</v>
      </c>
      <c r="F330" s="9">
        <v>786.0</v>
      </c>
    </row>
    <row r="331" ht="14.25" customHeight="1">
      <c r="A331" s="6" t="str">
        <f t="shared" si="1"/>
        <v>2020-05-21|Пермь</v>
      </c>
      <c r="B331" s="18">
        <v>43972.0</v>
      </c>
      <c r="C331" s="9" t="s">
        <v>19</v>
      </c>
      <c r="D331" s="9">
        <v>17.0</v>
      </c>
      <c r="E331" s="9">
        <v>1045.0</v>
      </c>
      <c r="F331" s="9">
        <v>930.0</v>
      </c>
    </row>
    <row r="332" ht="14.25" customHeight="1">
      <c r="A332" s="6" t="str">
        <f t="shared" si="1"/>
        <v>2020-05-21|Ростов-на-Дону</v>
      </c>
      <c r="B332" s="18">
        <v>43972.0</v>
      </c>
      <c r="C332" s="9" t="s">
        <v>20</v>
      </c>
      <c r="D332" s="9">
        <v>15.0</v>
      </c>
      <c r="E332" s="9">
        <v>749.0</v>
      </c>
      <c r="F332" s="9">
        <v>652.0</v>
      </c>
    </row>
    <row r="333" ht="14.25" customHeight="1">
      <c r="A333" s="6" t="str">
        <f t="shared" si="1"/>
        <v>2020-05-21|Санкт-Петербург Север</v>
      </c>
      <c r="B333" s="18">
        <v>43972.0</v>
      </c>
      <c r="C333" s="9" t="s">
        <v>16</v>
      </c>
      <c r="D333" s="9">
        <v>125.0</v>
      </c>
      <c r="E333" s="9">
        <v>20911.0</v>
      </c>
      <c r="F333" s="9">
        <v>19358.0</v>
      </c>
    </row>
    <row r="334" ht="14.25" customHeight="1">
      <c r="A334" s="6" t="str">
        <f t="shared" si="1"/>
        <v>2020-05-21|Санкт-Петербург Юг</v>
      </c>
      <c r="B334" s="18">
        <v>43972.0</v>
      </c>
      <c r="C334" s="9" t="s">
        <v>15</v>
      </c>
      <c r="D334" s="9">
        <v>129.0</v>
      </c>
      <c r="E334" s="9">
        <v>16373.0</v>
      </c>
      <c r="F334" s="9">
        <v>15223.0</v>
      </c>
    </row>
    <row r="335" ht="14.25" customHeight="1">
      <c r="A335" s="6" t="str">
        <f t="shared" si="1"/>
        <v>2020-05-21|Тольятти</v>
      </c>
      <c r="B335" s="18">
        <v>43972.0</v>
      </c>
      <c r="C335" s="9" t="s">
        <v>13</v>
      </c>
      <c r="D335" s="9">
        <v>10.0</v>
      </c>
      <c r="E335" s="9">
        <v>677.0</v>
      </c>
      <c r="F335" s="9">
        <v>591.0</v>
      </c>
    </row>
    <row r="336" ht="14.25" customHeight="1">
      <c r="A336" s="6" t="str">
        <f t="shared" si="1"/>
        <v>2020-05-22|Волгоград</v>
      </c>
      <c r="B336" s="18">
        <v>43973.0</v>
      </c>
      <c r="C336" s="9" t="s">
        <v>17</v>
      </c>
      <c r="D336" s="9">
        <v>36.0</v>
      </c>
      <c r="E336" s="9">
        <v>4857.0</v>
      </c>
      <c r="F336" s="9">
        <v>4456.0</v>
      </c>
    </row>
    <row r="337" ht="14.25" customHeight="1">
      <c r="A337" s="6" t="str">
        <f t="shared" si="1"/>
        <v>2020-05-22|Екатеринбург</v>
      </c>
      <c r="B337" s="18">
        <v>43973.0</v>
      </c>
      <c r="C337" s="9" t="s">
        <v>12</v>
      </c>
      <c r="D337" s="9">
        <v>31.0</v>
      </c>
      <c r="E337" s="9">
        <v>5965.0</v>
      </c>
      <c r="F337" s="9">
        <v>5533.0</v>
      </c>
    </row>
    <row r="338" ht="14.25" customHeight="1">
      <c r="A338" s="6" t="str">
        <f t="shared" si="1"/>
        <v>2020-05-22|Казань</v>
      </c>
      <c r="B338" s="18">
        <v>43973.0</v>
      </c>
      <c r="C338" s="9" t="s">
        <v>18</v>
      </c>
      <c r="D338" s="9">
        <v>21.0</v>
      </c>
      <c r="E338" s="9">
        <v>2861.0</v>
      </c>
      <c r="F338" s="9">
        <v>2612.0</v>
      </c>
    </row>
    <row r="339" ht="14.25" customHeight="1">
      <c r="A339" s="6" t="str">
        <f t="shared" si="1"/>
        <v>2020-05-22|Кемерово</v>
      </c>
      <c r="B339" s="18">
        <v>43973.0</v>
      </c>
      <c r="C339" s="9" t="s">
        <v>11</v>
      </c>
      <c r="D339" s="9">
        <v>21.0</v>
      </c>
      <c r="E339" s="9">
        <v>2046.0</v>
      </c>
      <c r="F339" s="9">
        <v>1853.0</v>
      </c>
    </row>
    <row r="340" ht="14.25" customHeight="1">
      <c r="A340" s="6" t="str">
        <f t="shared" si="1"/>
        <v>2020-05-22|Краснодар</v>
      </c>
      <c r="B340" s="18">
        <v>43973.0</v>
      </c>
      <c r="C340" s="9" t="s">
        <v>21</v>
      </c>
      <c r="D340" s="9">
        <v>19.0</v>
      </c>
      <c r="E340" s="9">
        <v>1859.0</v>
      </c>
      <c r="F340" s="9">
        <v>1697.0</v>
      </c>
    </row>
    <row r="341" ht="14.25" customHeight="1">
      <c r="A341" s="6" t="str">
        <f t="shared" si="1"/>
        <v>2020-05-22|Москва Восток</v>
      </c>
      <c r="B341" s="18">
        <v>43973.0</v>
      </c>
      <c r="C341" s="9" t="s">
        <v>23</v>
      </c>
      <c r="D341" s="9">
        <v>54.0</v>
      </c>
      <c r="E341" s="9">
        <v>13014.0</v>
      </c>
      <c r="F341" s="9">
        <v>12095.0</v>
      </c>
    </row>
    <row r="342" ht="14.25" customHeight="1">
      <c r="A342" s="6" t="str">
        <f t="shared" si="1"/>
        <v>2020-05-22|Москва Запад</v>
      </c>
      <c r="B342" s="18">
        <v>43973.0</v>
      </c>
      <c r="C342" s="9" t="s">
        <v>22</v>
      </c>
      <c r="D342" s="9">
        <v>60.0</v>
      </c>
      <c r="E342" s="9">
        <v>14050.0</v>
      </c>
      <c r="F342" s="9">
        <v>13027.0</v>
      </c>
    </row>
    <row r="343" ht="14.25" customHeight="1">
      <c r="A343" s="6" t="str">
        <f t="shared" si="1"/>
        <v>2020-05-22|Нижний Новгород</v>
      </c>
      <c r="B343" s="18">
        <v>43973.0</v>
      </c>
      <c r="C343" s="9" t="s">
        <v>14</v>
      </c>
      <c r="D343" s="9">
        <v>20.0</v>
      </c>
      <c r="E343" s="9">
        <v>2306.0</v>
      </c>
      <c r="F343" s="9">
        <v>2054.0</v>
      </c>
    </row>
    <row r="344" ht="14.25" customHeight="1">
      <c r="A344" s="6" t="str">
        <f t="shared" si="1"/>
        <v>2020-05-22|Новосибирск</v>
      </c>
      <c r="B344" s="18">
        <v>43973.0</v>
      </c>
      <c r="C344" s="9" t="s">
        <v>24</v>
      </c>
      <c r="D344" s="9">
        <v>18.0</v>
      </c>
      <c r="E344" s="9">
        <v>985.0</v>
      </c>
      <c r="F344" s="9">
        <v>861.0</v>
      </c>
    </row>
    <row r="345" ht="14.25" customHeight="1">
      <c r="A345" s="6" t="str">
        <f t="shared" si="1"/>
        <v>2020-05-22|Пермь</v>
      </c>
      <c r="B345" s="18">
        <v>43973.0</v>
      </c>
      <c r="C345" s="9" t="s">
        <v>19</v>
      </c>
      <c r="D345" s="9">
        <v>17.0</v>
      </c>
      <c r="E345" s="9">
        <v>1268.0</v>
      </c>
      <c r="F345" s="9">
        <v>1129.0</v>
      </c>
    </row>
    <row r="346" ht="14.25" customHeight="1">
      <c r="A346" s="6" t="str">
        <f t="shared" si="1"/>
        <v>2020-05-22|Ростов-на-Дону</v>
      </c>
      <c r="B346" s="18">
        <v>43973.0</v>
      </c>
      <c r="C346" s="9" t="s">
        <v>20</v>
      </c>
      <c r="D346" s="9">
        <v>15.0</v>
      </c>
      <c r="E346" s="9">
        <v>903.0</v>
      </c>
      <c r="F346" s="9">
        <v>792.0</v>
      </c>
    </row>
    <row r="347" ht="14.25" customHeight="1">
      <c r="A347" s="6" t="str">
        <f t="shared" si="1"/>
        <v>2020-05-22|Санкт-Петербург Север</v>
      </c>
      <c r="B347" s="18">
        <v>43973.0</v>
      </c>
      <c r="C347" s="9" t="s">
        <v>16</v>
      </c>
      <c r="D347" s="9">
        <v>125.0</v>
      </c>
      <c r="E347" s="9">
        <v>21427.0</v>
      </c>
      <c r="F347" s="9">
        <v>19799.0</v>
      </c>
    </row>
    <row r="348" ht="14.25" customHeight="1">
      <c r="A348" s="6" t="str">
        <f t="shared" si="1"/>
        <v>2020-05-22|Санкт-Петербург Юг</v>
      </c>
      <c r="B348" s="18">
        <v>43973.0</v>
      </c>
      <c r="C348" s="9" t="s">
        <v>15</v>
      </c>
      <c r="D348" s="9">
        <v>129.0</v>
      </c>
      <c r="E348" s="9">
        <v>17088.0</v>
      </c>
      <c r="F348" s="9">
        <v>15804.0</v>
      </c>
    </row>
    <row r="349" ht="14.25" customHeight="1">
      <c r="A349" s="6" t="str">
        <f t="shared" si="1"/>
        <v>2020-05-22|Тольятти</v>
      </c>
      <c r="B349" s="18">
        <v>43973.0</v>
      </c>
      <c r="C349" s="9" t="s">
        <v>13</v>
      </c>
      <c r="D349" s="9">
        <v>10.0</v>
      </c>
      <c r="E349" s="9">
        <v>965.0</v>
      </c>
      <c r="F349" s="9">
        <v>861.0</v>
      </c>
    </row>
    <row r="350" ht="14.25" customHeight="1">
      <c r="A350" s="6" t="str">
        <f t="shared" si="1"/>
        <v>2020-05-23|Волгоград</v>
      </c>
      <c r="B350" s="18">
        <v>43974.0</v>
      </c>
      <c r="C350" s="9" t="s">
        <v>17</v>
      </c>
      <c r="D350" s="9">
        <v>36.0</v>
      </c>
      <c r="E350" s="9">
        <v>5651.0</v>
      </c>
      <c r="F350" s="9">
        <v>5212.0</v>
      </c>
    </row>
    <row r="351" ht="14.25" customHeight="1">
      <c r="A351" s="6" t="str">
        <f t="shared" si="1"/>
        <v>2020-05-23|Екатеринбург</v>
      </c>
      <c r="B351" s="18">
        <v>43974.0</v>
      </c>
      <c r="C351" s="9" t="s">
        <v>12</v>
      </c>
      <c r="D351" s="9">
        <v>31.0</v>
      </c>
      <c r="E351" s="9">
        <v>6276.0</v>
      </c>
      <c r="F351" s="9">
        <v>5801.0</v>
      </c>
    </row>
    <row r="352" ht="14.25" customHeight="1">
      <c r="A352" s="6" t="str">
        <f t="shared" si="1"/>
        <v>2020-05-23|Казань</v>
      </c>
      <c r="B352" s="18">
        <v>43974.0</v>
      </c>
      <c r="C352" s="9" t="s">
        <v>18</v>
      </c>
      <c r="D352" s="9">
        <v>21.0</v>
      </c>
      <c r="E352" s="9">
        <v>2460.0</v>
      </c>
      <c r="F352" s="9">
        <v>2226.0</v>
      </c>
    </row>
    <row r="353" ht="14.25" customHeight="1">
      <c r="A353" s="6" t="str">
        <f t="shared" si="1"/>
        <v>2020-05-23|Кемерово</v>
      </c>
      <c r="B353" s="18">
        <v>43974.0</v>
      </c>
      <c r="C353" s="9" t="s">
        <v>11</v>
      </c>
      <c r="D353" s="9">
        <v>21.0</v>
      </c>
      <c r="E353" s="9">
        <v>2340.0</v>
      </c>
      <c r="F353" s="9">
        <v>2146.0</v>
      </c>
    </row>
    <row r="354" ht="14.25" customHeight="1">
      <c r="A354" s="6" t="str">
        <f t="shared" si="1"/>
        <v>2020-05-23|Краснодар</v>
      </c>
      <c r="B354" s="18">
        <v>43974.0</v>
      </c>
      <c r="C354" s="9" t="s">
        <v>21</v>
      </c>
      <c r="D354" s="9">
        <v>19.0</v>
      </c>
      <c r="E354" s="9">
        <v>2195.0</v>
      </c>
      <c r="F354" s="9">
        <v>1999.0</v>
      </c>
    </row>
    <row r="355" ht="14.25" customHeight="1">
      <c r="A355" s="6" t="str">
        <f t="shared" si="1"/>
        <v>2020-05-23|Москва Восток</v>
      </c>
      <c r="B355" s="18">
        <v>43974.0</v>
      </c>
      <c r="C355" s="9" t="s">
        <v>23</v>
      </c>
      <c r="D355" s="9">
        <v>54.0</v>
      </c>
      <c r="E355" s="9">
        <v>16221.0</v>
      </c>
      <c r="F355" s="9">
        <v>15065.0</v>
      </c>
    </row>
    <row r="356" ht="14.25" customHeight="1">
      <c r="A356" s="6" t="str">
        <f t="shared" si="1"/>
        <v>2020-05-23|Москва Запад</v>
      </c>
      <c r="B356" s="18">
        <v>43974.0</v>
      </c>
      <c r="C356" s="9" t="s">
        <v>22</v>
      </c>
      <c r="D356" s="9">
        <v>60.0</v>
      </c>
      <c r="E356" s="9">
        <v>17295.0</v>
      </c>
      <c r="F356" s="9">
        <v>16010.0</v>
      </c>
    </row>
    <row r="357" ht="14.25" customHeight="1">
      <c r="A357" s="6" t="str">
        <f t="shared" si="1"/>
        <v>2020-05-23|Нижний Новгород</v>
      </c>
      <c r="B357" s="18">
        <v>43974.0</v>
      </c>
      <c r="C357" s="9" t="s">
        <v>14</v>
      </c>
      <c r="D357" s="9">
        <v>20.0</v>
      </c>
      <c r="E357" s="9">
        <v>2266.0</v>
      </c>
      <c r="F357" s="9">
        <v>1993.0</v>
      </c>
    </row>
    <row r="358" ht="14.25" customHeight="1">
      <c r="A358" s="6" t="str">
        <f t="shared" si="1"/>
        <v>2020-05-23|Новосибирск</v>
      </c>
      <c r="B358" s="18">
        <v>43974.0</v>
      </c>
      <c r="C358" s="9" t="s">
        <v>24</v>
      </c>
      <c r="D358" s="9">
        <v>18.0</v>
      </c>
      <c r="E358" s="9">
        <v>1031.0</v>
      </c>
      <c r="F358" s="9">
        <v>918.0</v>
      </c>
    </row>
    <row r="359" ht="14.25" customHeight="1">
      <c r="A359" s="6" t="str">
        <f t="shared" si="1"/>
        <v>2020-05-23|Пермь</v>
      </c>
      <c r="B359" s="18">
        <v>43974.0</v>
      </c>
      <c r="C359" s="9" t="s">
        <v>19</v>
      </c>
      <c r="D359" s="9">
        <v>17.0</v>
      </c>
      <c r="E359" s="9">
        <v>1294.0</v>
      </c>
      <c r="F359" s="9">
        <v>1155.0</v>
      </c>
    </row>
    <row r="360" ht="14.25" customHeight="1">
      <c r="A360" s="6" t="str">
        <f t="shared" si="1"/>
        <v>2020-05-23|Ростов-на-Дону</v>
      </c>
      <c r="B360" s="18">
        <v>43974.0</v>
      </c>
      <c r="C360" s="9" t="s">
        <v>20</v>
      </c>
      <c r="D360" s="9">
        <v>15.0</v>
      </c>
      <c r="E360" s="9">
        <v>840.0</v>
      </c>
      <c r="F360" s="9">
        <v>725.0</v>
      </c>
    </row>
    <row r="361" ht="14.25" customHeight="1">
      <c r="A361" s="6" t="str">
        <f t="shared" si="1"/>
        <v>2020-05-23|Санкт-Петербург Север</v>
      </c>
      <c r="B361" s="18">
        <v>43974.0</v>
      </c>
      <c r="C361" s="9" t="s">
        <v>16</v>
      </c>
      <c r="D361" s="9">
        <v>125.0</v>
      </c>
      <c r="E361" s="9">
        <v>24574.0</v>
      </c>
      <c r="F361" s="9">
        <v>22609.0</v>
      </c>
    </row>
    <row r="362" ht="14.25" customHeight="1">
      <c r="A362" s="6" t="str">
        <f t="shared" si="1"/>
        <v>2020-05-23|Санкт-Петербург Юг</v>
      </c>
      <c r="B362" s="18">
        <v>43974.0</v>
      </c>
      <c r="C362" s="9" t="s">
        <v>15</v>
      </c>
      <c r="D362" s="9">
        <v>129.0</v>
      </c>
      <c r="E362" s="9">
        <v>19856.0</v>
      </c>
      <c r="F362" s="9">
        <v>18325.0</v>
      </c>
    </row>
    <row r="363" ht="14.25" customHeight="1">
      <c r="A363" s="6" t="str">
        <f t="shared" si="1"/>
        <v>2020-05-23|Тольятти</v>
      </c>
      <c r="B363" s="18">
        <v>43974.0</v>
      </c>
      <c r="C363" s="9" t="s">
        <v>13</v>
      </c>
      <c r="D363" s="9">
        <v>10.0</v>
      </c>
      <c r="E363" s="9">
        <v>828.0</v>
      </c>
      <c r="F363" s="9">
        <v>734.0</v>
      </c>
    </row>
    <row r="364" ht="14.25" customHeight="1">
      <c r="A364" s="6" t="str">
        <f t="shared" si="1"/>
        <v>2020-05-24|Волгоград</v>
      </c>
      <c r="B364" s="18">
        <v>43975.0</v>
      </c>
      <c r="C364" s="9" t="s">
        <v>17</v>
      </c>
      <c r="D364" s="9">
        <v>36.0</v>
      </c>
      <c r="E364" s="9">
        <v>4915.0</v>
      </c>
      <c r="F364" s="9">
        <v>4562.0</v>
      </c>
    </row>
    <row r="365" ht="14.25" customHeight="1">
      <c r="A365" s="6" t="str">
        <f t="shared" si="1"/>
        <v>2020-05-24|Екатеринбург</v>
      </c>
      <c r="B365" s="18">
        <v>43975.0</v>
      </c>
      <c r="C365" s="9" t="s">
        <v>12</v>
      </c>
      <c r="D365" s="9">
        <v>31.0</v>
      </c>
      <c r="E365" s="9">
        <v>5035.0</v>
      </c>
      <c r="F365" s="9">
        <v>4683.0</v>
      </c>
    </row>
    <row r="366" ht="14.25" customHeight="1">
      <c r="A366" s="6" t="str">
        <f t="shared" si="1"/>
        <v>2020-05-24|Казань</v>
      </c>
      <c r="B366" s="18">
        <v>43975.0</v>
      </c>
      <c r="C366" s="9" t="s">
        <v>18</v>
      </c>
      <c r="D366" s="9">
        <v>21.0</v>
      </c>
      <c r="E366" s="9">
        <v>2254.0</v>
      </c>
      <c r="F366" s="9">
        <v>2061.0</v>
      </c>
    </row>
    <row r="367" ht="14.25" customHeight="1">
      <c r="A367" s="6" t="str">
        <f t="shared" si="1"/>
        <v>2020-05-24|Кемерово</v>
      </c>
      <c r="B367" s="18">
        <v>43975.0</v>
      </c>
      <c r="C367" s="9" t="s">
        <v>11</v>
      </c>
      <c r="D367" s="9">
        <v>20.0</v>
      </c>
      <c r="E367" s="9">
        <v>1999.0</v>
      </c>
      <c r="F367" s="9">
        <v>1829.0</v>
      </c>
    </row>
    <row r="368" ht="14.25" customHeight="1">
      <c r="A368" s="6" t="str">
        <f t="shared" si="1"/>
        <v>2020-05-24|Краснодар</v>
      </c>
      <c r="B368" s="18">
        <v>43975.0</v>
      </c>
      <c r="C368" s="9" t="s">
        <v>21</v>
      </c>
      <c r="D368" s="9">
        <v>19.0</v>
      </c>
      <c r="E368" s="9">
        <v>1868.0</v>
      </c>
      <c r="F368" s="9">
        <v>1706.0</v>
      </c>
    </row>
    <row r="369" ht="14.25" customHeight="1">
      <c r="A369" s="6" t="str">
        <f t="shared" si="1"/>
        <v>2020-05-24|Москва Восток</v>
      </c>
      <c r="B369" s="18">
        <v>43975.0</v>
      </c>
      <c r="C369" s="9" t="s">
        <v>23</v>
      </c>
      <c r="D369" s="9">
        <v>54.0</v>
      </c>
      <c r="E369" s="9">
        <v>12211.0</v>
      </c>
      <c r="F369" s="9">
        <v>11427.0</v>
      </c>
    </row>
    <row r="370" ht="14.25" customHeight="1">
      <c r="A370" s="6" t="str">
        <f t="shared" si="1"/>
        <v>2020-05-24|Москва Запад</v>
      </c>
      <c r="B370" s="18">
        <v>43975.0</v>
      </c>
      <c r="C370" s="9" t="s">
        <v>22</v>
      </c>
      <c r="D370" s="9">
        <v>60.0</v>
      </c>
      <c r="E370" s="9">
        <v>12822.0</v>
      </c>
      <c r="F370" s="9">
        <v>11916.0</v>
      </c>
    </row>
    <row r="371" ht="14.25" customHeight="1">
      <c r="A371" s="6" t="str">
        <f t="shared" si="1"/>
        <v>2020-05-24|Нижний Новгород</v>
      </c>
      <c r="B371" s="18">
        <v>43975.0</v>
      </c>
      <c r="C371" s="9" t="s">
        <v>14</v>
      </c>
      <c r="D371" s="9">
        <v>20.0</v>
      </c>
      <c r="E371" s="9">
        <v>2015.0</v>
      </c>
      <c r="F371" s="9">
        <v>1803.0</v>
      </c>
    </row>
    <row r="372" ht="14.25" customHeight="1">
      <c r="A372" s="6" t="str">
        <f t="shared" si="1"/>
        <v>2020-05-24|Новосибирск</v>
      </c>
      <c r="B372" s="18">
        <v>43975.0</v>
      </c>
      <c r="C372" s="9" t="s">
        <v>24</v>
      </c>
      <c r="D372" s="9">
        <v>18.0</v>
      </c>
      <c r="E372" s="9">
        <v>1006.0</v>
      </c>
      <c r="F372" s="9">
        <v>904.0</v>
      </c>
    </row>
    <row r="373" ht="14.25" customHeight="1">
      <c r="A373" s="6" t="str">
        <f t="shared" si="1"/>
        <v>2020-05-24|Пермь</v>
      </c>
      <c r="B373" s="18">
        <v>43975.0</v>
      </c>
      <c r="C373" s="9" t="s">
        <v>19</v>
      </c>
      <c r="D373" s="9">
        <v>17.0</v>
      </c>
      <c r="E373" s="9">
        <v>1128.0</v>
      </c>
      <c r="F373" s="9">
        <v>1001.0</v>
      </c>
    </row>
    <row r="374" ht="14.25" customHeight="1">
      <c r="A374" s="6" t="str">
        <f t="shared" si="1"/>
        <v>2020-05-24|Ростов-на-Дону</v>
      </c>
      <c r="B374" s="18">
        <v>43975.0</v>
      </c>
      <c r="C374" s="9" t="s">
        <v>20</v>
      </c>
      <c r="D374" s="9">
        <v>15.0</v>
      </c>
      <c r="E374" s="9">
        <v>779.0</v>
      </c>
      <c r="F374" s="9">
        <v>673.0</v>
      </c>
    </row>
    <row r="375" ht="14.25" customHeight="1">
      <c r="A375" s="6" t="str">
        <f t="shared" si="1"/>
        <v>2020-05-24|Санкт-Петербург Север</v>
      </c>
      <c r="B375" s="18">
        <v>43975.0</v>
      </c>
      <c r="C375" s="9" t="s">
        <v>16</v>
      </c>
      <c r="D375" s="9">
        <v>125.0</v>
      </c>
      <c r="E375" s="9">
        <v>21004.0</v>
      </c>
      <c r="F375" s="9">
        <v>19556.0</v>
      </c>
    </row>
    <row r="376" ht="14.25" customHeight="1">
      <c r="A376" s="6" t="str">
        <f t="shared" si="1"/>
        <v>2020-05-24|Санкт-Петербург Юг</v>
      </c>
      <c r="B376" s="18">
        <v>43975.0</v>
      </c>
      <c r="C376" s="9" t="s">
        <v>15</v>
      </c>
      <c r="D376" s="9">
        <v>129.0</v>
      </c>
      <c r="E376" s="9">
        <v>16432.0</v>
      </c>
      <c r="F376" s="9">
        <v>15345.0</v>
      </c>
    </row>
    <row r="377" ht="14.25" customHeight="1">
      <c r="A377" s="6" t="str">
        <f t="shared" si="1"/>
        <v>2020-05-24|Тольятти</v>
      </c>
      <c r="B377" s="18">
        <v>43975.0</v>
      </c>
      <c r="C377" s="9" t="s">
        <v>13</v>
      </c>
      <c r="D377" s="9">
        <v>10.0</v>
      </c>
      <c r="E377" s="9">
        <v>639.0</v>
      </c>
      <c r="F377" s="9">
        <v>557.0</v>
      </c>
    </row>
    <row r="378" ht="14.25" customHeight="1">
      <c r="A378" s="6" t="str">
        <f t="shared" si="1"/>
        <v>2020-05-25|Волгоград</v>
      </c>
      <c r="B378" s="18">
        <v>43976.0</v>
      </c>
      <c r="C378" s="9" t="s">
        <v>17</v>
      </c>
      <c r="D378" s="9">
        <v>36.0</v>
      </c>
      <c r="E378" s="9">
        <v>4641.0</v>
      </c>
      <c r="F378" s="9">
        <v>4274.0</v>
      </c>
    </row>
    <row r="379" ht="14.25" customHeight="1">
      <c r="A379" s="6" t="str">
        <f t="shared" si="1"/>
        <v>2020-05-25|Екатеринбург</v>
      </c>
      <c r="B379" s="18">
        <v>43976.0</v>
      </c>
      <c r="C379" s="9" t="s">
        <v>12</v>
      </c>
      <c r="D379" s="9">
        <v>31.0</v>
      </c>
      <c r="E379" s="9">
        <v>5210.0</v>
      </c>
      <c r="F379" s="9">
        <v>4841.0</v>
      </c>
    </row>
    <row r="380" ht="14.25" customHeight="1">
      <c r="A380" s="6" t="str">
        <f t="shared" si="1"/>
        <v>2020-05-25|Казань</v>
      </c>
      <c r="B380" s="18">
        <v>43976.0</v>
      </c>
      <c r="C380" s="9" t="s">
        <v>18</v>
      </c>
      <c r="D380" s="9">
        <v>21.0</v>
      </c>
      <c r="E380" s="9">
        <v>2330.0</v>
      </c>
      <c r="F380" s="9">
        <v>2142.0</v>
      </c>
    </row>
    <row r="381" ht="14.25" customHeight="1">
      <c r="A381" s="6" t="str">
        <f t="shared" si="1"/>
        <v>2020-05-25|Кемерово</v>
      </c>
      <c r="B381" s="18">
        <v>43976.0</v>
      </c>
      <c r="C381" s="9" t="s">
        <v>11</v>
      </c>
      <c r="D381" s="9">
        <v>20.0</v>
      </c>
      <c r="E381" s="9">
        <v>2087.0</v>
      </c>
      <c r="F381" s="9">
        <v>1914.0</v>
      </c>
    </row>
    <row r="382" ht="14.25" customHeight="1">
      <c r="A382" s="6" t="str">
        <f t="shared" si="1"/>
        <v>2020-05-25|Краснодар</v>
      </c>
      <c r="B382" s="18">
        <v>43976.0</v>
      </c>
      <c r="C382" s="9" t="s">
        <v>21</v>
      </c>
      <c r="D382" s="9">
        <v>20.0</v>
      </c>
      <c r="E382" s="9">
        <v>1899.0</v>
      </c>
      <c r="F382" s="9">
        <v>1738.0</v>
      </c>
    </row>
    <row r="383" ht="14.25" customHeight="1">
      <c r="A383" s="6" t="str">
        <f t="shared" si="1"/>
        <v>2020-05-25|Москва Восток</v>
      </c>
      <c r="B383" s="18">
        <v>43976.0</v>
      </c>
      <c r="C383" s="9" t="s">
        <v>23</v>
      </c>
      <c r="D383" s="9">
        <v>54.0</v>
      </c>
      <c r="E383" s="9">
        <v>12336.0</v>
      </c>
      <c r="F383" s="9">
        <v>11519.0</v>
      </c>
    </row>
    <row r="384" ht="14.25" customHeight="1">
      <c r="A384" s="6" t="str">
        <f t="shared" si="1"/>
        <v>2020-05-25|Москва Запад</v>
      </c>
      <c r="B384" s="18">
        <v>43976.0</v>
      </c>
      <c r="C384" s="9" t="s">
        <v>22</v>
      </c>
      <c r="D384" s="9">
        <v>59.0</v>
      </c>
      <c r="E384" s="9">
        <v>12983.0</v>
      </c>
      <c r="F384" s="9">
        <v>12056.0</v>
      </c>
    </row>
    <row r="385" ht="14.25" customHeight="1">
      <c r="A385" s="6" t="str">
        <f t="shared" si="1"/>
        <v>2020-05-25|Нижний Новгород</v>
      </c>
      <c r="B385" s="18">
        <v>43976.0</v>
      </c>
      <c r="C385" s="9" t="s">
        <v>14</v>
      </c>
      <c r="D385" s="9">
        <v>20.0</v>
      </c>
      <c r="E385" s="9">
        <v>2011.0</v>
      </c>
      <c r="F385" s="9">
        <v>1791.0</v>
      </c>
    </row>
    <row r="386" ht="14.25" customHeight="1">
      <c r="A386" s="6" t="str">
        <f t="shared" si="1"/>
        <v>2020-05-25|Новосибирск</v>
      </c>
      <c r="B386" s="18">
        <v>43976.0</v>
      </c>
      <c r="C386" s="9" t="s">
        <v>24</v>
      </c>
      <c r="D386" s="9">
        <v>18.0</v>
      </c>
      <c r="E386" s="9">
        <v>989.0</v>
      </c>
      <c r="F386" s="9">
        <v>887.0</v>
      </c>
    </row>
    <row r="387" ht="14.25" customHeight="1">
      <c r="A387" s="6" t="str">
        <f t="shared" si="1"/>
        <v>2020-05-25|Пермь</v>
      </c>
      <c r="B387" s="18">
        <v>43976.0</v>
      </c>
      <c r="C387" s="9" t="s">
        <v>19</v>
      </c>
      <c r="D387" s="9">
        <v>17.0</v>
      </c>
      <c r="E387" s="9">
        <v>1142.0</v>
      </c>
      <c r="F387" s="9">
        <v>1020.0</v>
      </c>
    </row>
    <row r="388" ht="14.25" customHeight="1">
      <c r="A388" s="6" t="str">
        <f t="shared" si="1"/>
        <v>2020-05-25|Ростов-на-Дону</v>
      </c>
      <c r="B388" s="18">
        <v>43976.0</v>
      </c>
      <c r="C388" s="9" t="s">
        <v>20</v>
      </c>
      <c r="D388" s="9">
        <v>15.0</v>
      </c>
      <c r="E388" s="9">
        <v>835.0</v>
      </c>
      <c r="F388" s="9">
        <v>736.0</v>
      </c>
    </row>
    <row r="389" ht="14.25" customHeight="1">
      <c r="A389" s="6" t="str">
        <f t="shared" si="1"/>
        <v>2020-05-25|Санкт-Петербург Север</v>
      </c>
      <c r="B389" s="18">
        <v>43976.0</v>
      </c>
      <c r="C389" s="9" t="s">
        <v>16</v>
      </c>
      <c r="D389" s="9">
        <v>124.0</v>
      </c>
      <c r="E389" s="9">
        <v>20358.0</v>
      </c>
      <c r="F389" s="9">
        <v>18890.0</v>
      </c>
    </row>
    <row r="390" ht="14.25" customHeight="1">
      <c r="A390" s="6" t="str">
        <f t="shared" si="1"/>
        <v>2020-05-25|Санкт-Петербург Юг</v>
      </c>
      <c r="B390" s="18">
        <v>43976.0</v>
      </c>
      <c r="C390" s="9" t="s">
        <v>15</v>
      </c>
      <c r="D390" s="9">
        <v>129.0</v>
      </c>
      <c r="E390" s="9">
        <v>15822.0</v>
      </c>
      <c r="F390" s="9">
        <v>14753.0</v>
      </c>
    </row>
    <row r="391" ht="14.25" customHeight="1">
      <c r="A391" s="6" t="str">
        <f t="shared" si="1"/>
        <v>2020-05-25|Тольятти</v>
      </c>
      <c r="B391" s="18">
        <v>43976.0</v>
      </c>
      <c r="C391" s="9" t="s">
        <v>13</v>
      </c>
      <c r="D391" s="9">
        <v>10.0</v>
      </c>
      <c r="E391" s="9">
        <v>739.0</v>
      </c>
      <c r="F391" s="9">
        <v>642.0</v>
      </c>
    </row>
    <row r="392" ht="14.25" customHeight="1">
      <c r="A392" s="6" t="str">
        <f t="shared" si="1"/>
        <v>2020-05-26|Волгоград</v>
      </c>
      <c r="B392" s="18">
        <v>43977.0</v>
      </c>
      <c r="C392" s="9" t="s">
        <v>17</v>
      </c>
      <c r="D392" s="9">
        <v>36.0</v>
      </c>
      <c r="E392" s="9">
        <v>4770.0</v>
      </c>
      <c r="F392" s="9">
        <v>4424.0</v>
      </c>
    </row>
    <row r="393" ht="14.25" customHeight="1">
      <c r="A393" s="6" t="str">
        <f t="shared" si="1"/>
        <v>2020-05-26|Екатеринбург</v>
      </c>
      <c r="B393" s="18">
        <v>43977.0</v>
      </c>
      <c r="C393" s="9" t="s">
        <v>12</v>
      </c>
      <c r="D393" s="9">
        <v>31.0</v>
      </c>
      <c r="E393" s="9">
        <v>5493.0</v>
      </c>
      <c r="F393" s="9">
        <v>5119.0</v>
      </c>
    </row>
    <row r="394" ht="14.25" customHeight="1">
      <c r="A394" s="6" t="str">
        <f t="shared" si="1"/>
        <v>2020-05-26|Казань</v>
      </c>
      <c r="B394" s="18">
        <v>43977.0</v>
      </c>
      <c r="C394" s="9" t="s">
        <v>18</v>
      </c>
      <c r="D394" s="9">
        <v>21.0</v>
      </c>
      <c r="E394" s="9">
        <v>2418.0</v>
      </c>
      <c r="F394" s="9">
        <v>2215.0</v>
      </c>
    </row>
    <row r="395" ht="14.25" customHeight="1">
      <c r="A395" s="6" t="str">
        <f t="shared" si="1"/>
        <v>2020-05-26|Кемерово</v>
      </c>
      <c r="B395" s="18">
        <v>43977.0</v>
      </c>
      <c r="C395" s="9" t="s">
        <v>11</v>
      </c>
      <c r="D395" s="9">
        <v>20.0</v>
      </c>
      <c r="E395" s="9">
        <v>2044.0</v>
      </c>
      <c r="F395" s="9">
        <v>1863.0</v>
      </c>
    </row>
    <row r="396" ht="14.25" customHeight="1">
      <c r="A396" s="6" t="str">
        <f t="shared" si="1"/>
        <v>2020-05-26|Краснодар</v>
      </c>
      <c r="B396" s="18">
        <v>43977.0</v>
      </c>
      <c r="C396" s="9" t="s">
        <v>21</v>
      </c>
      <c r="D396" s="9">
        <v>20.0</v>
      </c>
      <c r="E396" s="9">
        <v>1814.0</v>
      </c>
      <c r="F396" s="9">
        <v>1655.0</v>
      </c>
    </row>
    <row r="397" ht="14.25" customHeight="1">
      <c r="A397" s="6" t="str">
        <f t="shared" si="1"/>
        <v>2020-05-26|Москва Восток</v>
      </c>
      <c r="B397" s="18">
        <v>43977.0</v>
      </c>
      <c r="C397" s="9" t="s">
        <v>23</v>
      </c>
      <c r="D397" s="9">
        <v>54.0</v>
      </c>
      <c r="E397" s="9">
        <v>14482.0</v>
      </c>
      <c r="F397" s="9">
        <v>13510.0</v>
      </c>
    </row>
    <row r="398" ht="14.25" customHeight="1">
      <c r="A398" s="6" t="str">
        <f t="shared" si="1"/>
        <v>2020-05-26|Москва Запад</v>
      </c>
      <c r="B398" s="18">
        <v>43977.0</v>
      </c>
      <c r="C398" s="9" t="s">
        <v>22</v>
      </c>
      <c r="D398" s="9">
        <v>59.0</v>
      </c>
      <c r="E398" s="9">
        <v>15369.0</v>
      </c>
      <c r="F398" s="9">
        <v>14299.0</v>
      </c>
    </row>
    <row r="399" ht="14.25" customHeight="1">
      <c r="A399" s="6" t="str">
        <f t="shared" si="1"/>
        <v>2020-05-26|Нижний Новгород</v>
      </c>
      <c r="B399" s="18">
        <v>43977.0</v>
      </c>
      <c r="C399" s="9" t="s">
        <v>14</v>
      </c>
      <c r="D399" s="9">
        <v>20.0</v>
      </c>
      <c r="E399" s="9">
        <v>2036.0</v>
      </c>
      <c r="F399" s="9">
        <v>1790.0</v>
      </c>
    </row>
    <row r="400" ht="14.25" customHeight="1">
      <c r="A400" s="6" t="str">
        <f t="shared" si="1"/>
        <v>2020-05-26|Новосибирск</v>
      </c>
      <c r="B400" s="18">
        <v>43977.0</v>
      </c>
      <c r="C400" s="9" t="s">
        <v>24</v>
      </c>
      <c r="D400" s="9">
        <v>18.0</v>
      </c>
      <c r="E400" s="9">
        <v>914.0</v>
      </c>
      <c r="F400" s="9">
        <v>804.0</v>
      </c>
    </row>
    <row r="401" ht="14.25" customHeight="1">
      <c r="A401" s="6" t="str">
        <f t="shared" si="1"/>
        <v>2020-05-26|Пермь</v>
      </c>
      <c r="B401" s="18">
        <v>43977.0</v>
      </c>
      <c r="C401" s="9" t="s">
        <v>19</v>
      </c>
      <c r="D401" s="9">
        <v>17.0</v>
      </c>
      <c r="E401" s="9">
        <v>1140.0</v>
      </c>
      <c r="F401" s="9">
        <v>1016.0</v>
      </c>
    </row>
    <row r="402" ht="14.25" customHeight="1">
      <c r="A402" s="6" t="str">
        <f t="shared" si="1"/>
        <v>2020-05-26|Ростов-на-Дону</v>
      </c>
      <c r="B402" s="18">
        <v>43977.0</v>
      </c>
      <c r="C402" s="9" t="s">
        <v>20</v>
      </c>
      <c r="D402" s="9">
        <v>15.0</v>
      </c>
      <c r="E402" s="9">
        <v>812.0</v>
      </c>
      <c r="F402" s="9">
        <v>711.0</v>
      </c>
    </row>
    <row r="403" ht="14.25" customHeight="1">
      <c r="A403" s="6" t="str">
        <f t="shared" si="1"/>
        <v>2020-05-26|Санкт-Петербург Север</v>
      </c>
      <c r="B403" s="18">
        <v>43977.0</v>
      </c>
      <c r="C403" s="9" t="s">
        <v>16</v>
      </c>
      <c r="D403" s="9">
        <v>124.0</v>
      </c>
      <c r="E403" s="9">
        <v>21153.0</v>
      </c>
      <c r="F403" s="9">
        <v>19673.0</v>
      </c>
    </row>
    <row r="404" ht="14.25" customHeight="1">
      <c r="A404" s="6" t="str">
        <f t="shared" si="1"/>
        <v>2020-05-26|Санкт-Петербург Юг</v>
      </c>
      <c r="B404" s="18">
        <v>43977.0</v>
      </c>
      <c r="C404" s="9" t="s">
        <v>15</v>
      </c>
      <c r="D404" s="9">
        <v>129.0</v>
      </c>
      <c r="E404" s="9">
        <v>16459.0</v>
      </c>
      <c r="F404" s="9">
        <v>15355.0</v>
      </c>
    </row>
    <row r="405" ht="14.25" customHeight="1">
      <c r="A405" s="6" t="str">
        <f t="shared" si="1"/>
        <v>2020-05-26|Тольятти</v>
      </c>
      <c r="B405" s="18">
        <v>43977.0</v>
      </c>
      <c r="C405" s="9" t="s">
        <v>13</v>
      </c>
      <c r="D405" s="9">
        <v>10.0</v>
      </c>
      <c r="E405" s="9">
        <v>692.0</v>
      </c>
      <c r="F405" s="9">
        <v>601.0</v>
      </c>
    </row>
    <row r="406" ht="14.25" customHeight="1">
      <c r="A406" s="6" t="str">
        <f t="shared" si="1"/>
        <v>2020-05-26|Тюмень</v>
      </c>
      <c r="B406" s="18">
        <v>43977.0</v>
      </c>
      <c r="C406" s="9" t="s">
        <v>25</v>
      </c>
      <c r="D406" s="9">
        <v>7.0</v>
      </c>
      <c r="E406" s="9">
        <v>577.0</v>
      </c>
      <c r="F406" s="9">
        <v>389.0</v>
      </c>
    </row>
    <row r="407" ht="14.25" customHeight="1">
      <c r="A407" s="6" t="str">
        <f t="shared" si="1"/>
        <v>2020-05-27|Волгоград</v>
      </c>
      <c r="B407" s="18">
        <v>43978.0</v>
      </c>
      <c r="C407" s="9" t="s">
        <v>17</v>
      </c>
      <c r="D407" s="9">
        <v>36.0</v>
      </c>
      <c r="E407" s="9">
        <v>4951.0</v>
      </c>
      <c r="F407" s="9">
        <v>4584.0</v>
      </c>
    </row>
    <row r="408" ht="14.25" customHeight="1">
      <c r="A408" s="6" t="str">
        <f t="shared" si="1"/>
        <v>2020-05-27|Екатеринбург</v>
      </c>
      <c r="B408" s="18">
        <v>43978.0</v>
      </c>
      <c r="C408" s="9" t="s">
        <v>12</v>
      </c>
      <c r="D408" s="9">
        <v>31.0</v>
      </c>
      <c r="E408" s="9">
        <v>5330.0</v>
      </c>
      <c r="F408" s="9">
        <v>4977.0</v>
      </c>
    </row>
    <row r="409" ht="14.25" customHeight="1">
      <c r="A409" s="6" t="str">
        <f t="shared" si="1"/>
        <v>2020-05-27|Казань</v>
      </c>
      <c r="B409" s="18">
        <v>43978.0</v>
      </c>
      <c r="C409" s="9" t="s">
        <v>18</v>
      </c>
      <c r="D409" s="9">
        <v>21.0</v>
      </c>
      <c r="E409" s="9">
        <v>2430.0</v>
      </c>
      <c r="F409" s="9">
        <v>2216.0</v>
      </c>
    </row>
    <row r="410" ht="14.25" customHeight="1">
      <c r="A410" s="6" t="str">
        <f t="shared" si="1"/>
        <v>2020-05-27|Кемерово</v>
      </c>
      <c r="B410" s="18">
        <v>43978.0</v>
      </c>
      <c r="C410" s="9" t="s">
        <v>11</v>
      </c>
      <c r="D410" s="9">
        <v>20.0</v>
      </c>
      <c r="E410" s="9">
        <v>2079.0</v>
      </c>
      <c r="F410" s="9">
        <v>1893.0</v>
      </c>
    </row>
    <row r="411" ht="14.25" customHeight="1">
      <c r="A411" s="6" t="str">
        <f t="shared" si="1"/>
        <v>2020-05-27|Краснодар</v>
      </c>
      <c r="B411" s="18">
        <v>43978.0</v>
      </c>
      <c r="C411" s="9" t="s">
        <v>21</v>
      </c>
      <c r="D411" s="9">
        <v>20.0</v>
      </c>
      <c r="E411" s="9">
        <v>1873.0</v>
      </c>
      <c r="F411" s="9">
        <v>1715.0</v>
      </c>
    </row>
    <row r="412" ht="14.25" customHeight="1">
      <c r="A412" s="6" t="str">
        <f t="shared" si="1"/>
        <v>2020-05-27|Москва Восток</v>
      </c>
      <c r="B412" s="18">
        <v>43978.0</v>
      </c>
      <c r="C412" s="9" t="s">
        <v>23</v>
      </c>
      <c r="D412" s="9">
        <v>54.0</v>
      </c>
      <c r="E412" s="9">
        <v>13091.0</v>
      </c>
      <c r="F412" s="9">
        <v>12216.0</v>
      </c>
    </row>
    <row r="413" ht="14.25" customHeight="1">
      <c r="A413" s="6" t="str">
        <f t="shared" si="1"/>
        <v>2020-05-27|Москва Запад</v>
      </c>
      <c r="B413" s="18">
        <v>43978.0</v>
      </c>
      <c r="C413" s="9" t="s">
        <v>22</v>
      </c>
      <c r="D413" s="9">
        <v>59.0</v>
      </c>
      <c r="E413" s="9">
        <v>13942.0</v>
      </c>
      <c r="F413" s="9">
        <v>12986.0</v>
      </c>
    </row>
    <row r="414" ht="14.25" customHeight="1">
      <c r="A414" s="6" t="str">
        <f t="shared" si="1"/>
        <v>2020-05-27|Нижний Новгород</v>
      </c>
      <c r="B414" s="18">
        <v>43978.0</v>
      </c>
      <c r="C414" s="9" t="s">
        <v>14</v>
      </c>
      <c r="D414" s="9">
        <v>20.0</v>
      </c>
      <c r="E414" s="9">
        <v>2079.0</v>
      </c>
      <c r="F414" s="9">
        <v>1856.0</v>
      </c>
    </row>
    <row r="415" ht="14.25" customHeight="1">
      <c r="A415" s="6" t="str">
        <f t="shared" si="1"/>
        <v>2020-05-27|Новосибирск</v>
      </c>
      <c r="B415" s="18">
        <v>43978.0</v>
      </c>
      <c r="C415" s="9" t="s">
        <v>24</v>
      </c>
      <c r="D415" s="9">
        <v>18.0</v>
      </c>
      <c r="E415" s="9">
        <v>962.0</v>
      </c>
      <c r="F415" s="9">
        <v>859.0</v>
      </c>
    </row>
    <row r="416" ht="14.25" customHeight="1">
      <c r="A416" s="6" t="str">
        <f t="shared" si="1"/>
        <v>2020-05-27|Пермь</v>
      </c>
      <c r="B416" s="18">
        <v>43978.0</v>
      </c>
      <c r="C416" s="9" t="s">
        <v>19</v>
      </c>
      <c r="D416" s="9">
        <v>17.0</v>
      </c>
      <c r="E416" s="9">
        <v>1203.0</v>
      </c>
      <c r="F416" s="9">
        <v>1077.0</v>
      </c>
    </row>
    <row r="417" ht="14.25" customHeight="1">
      <c r="A417" s="6" t="str">
        <f t="shared" si="1"/>
        <v>2020-05-27|Ростов-на-Дону</v>
      </c>
      <c r="B417" s="18">
        <v>43978.0</v>
      </c>
      <c r="C417" s="9" t="s">
        <v>20</v>
      </c>
      <c r="D417" s="9">
        <v>15.0</v>
      </c>
      <c r="E417" s="9">
        <v>809.0</v>
      </c>
      <c r="F417" s="9">
        <v>702.0</v>
      </c>
    </row>
    <row r="418" ht="14.25" customHeight="1">
      <c r="A418" s="6" t="str">
        <f t="shared" si="1"/>
        <v>2020-05-27|Санкт-Петербург Север</v>
      </c>
      <c r="B418" s="18">
        <v>43978.0</v>
      </c>
      <c r="C418" s="9" t="s">
        <v>16</v>
      </c>
      <c r="D418" s="9">
        <v>124.0</v>
      </c>
      <c r="E418" s="9">
        <v>21384.0</v>
      </c>
      <c r="F418" s="9">
        <v>19897.0</v>
      </c>
    </row>
    <row r="419" ht="14.25" customHeight="1">
      <c r="A419" s="6" t="str">
        <f t="shared" si="1"/>
        <v>2020-05-27|Санкт-Петербург Юг</v>
      </c>
      <c r="B419" s="18">
        <v>43978.0</v>
      </c>
      <c r="C419" s="9" t="s">
        <v>15</v>
      </c>
      <c r="D419" s="9">
        <v>129.0</v>
      </c>
      <c r="E419" s="9">
        <v>17115.0</v>
      </c>
      <c r="F419" s="9">
        <v>15962.0</v>
      </c>
    </row>
    <row r="420" ht="14.25" customHeight="1">
      <c r="A420" s="6" t="str">
        <f t="shared" si="1"/>
        <v>2020-05-27|Тольятти</v>
      </c>
      <c r="B420" s="18">
        <v>43978.0</v>
      </c>
      <c r="C420" s="9" t="s">
        <v>13</v>
      </c>
      <c r="D420" s="9">
        <v>10.0</v>
      </c>
      <c r="E420" s="9">
        <v>757.0</v>
      </c>
      <c r="F420" s="9">
        <v>660.0</v>
      </c>
    </row>
    <row r="421" ht="14.25" customHeight="1">
      <c r="A421" s="6" t="str">
        <f t="shared" si="1"/>
        <v>2020-05-27|Тюмень</v>
      </c>
      <c r="B421" s="18">
        <v>43978.0</v>
      </c>
      <c r="C421" s="9" t="s">
        <v>25</v>
      </c>
      <c r="D421" s="9">
        <v>7.0</v>
      </c>
      <c r="E421" s="9">
        <v>409.0</v>
      </c>
      <c r="F421" s="9">
        <v>329.0</v>
      </c>
    </row>
    <row r="422" ht="14.25" customHeight="1">
      <c r="A422" s="6" t="str">
        <f t="shared" si="1"/>
        <v>2020-05-28|Волгоград</v>
      </c>
      <c r="B422" s="18">
        <v>43979.0</v>
      </c>
      <c r="C422" s="9" t="s">
        <v>17</v>
      </c>
      <c r="D422" s="9">
        <v>37.0</v>
      </c>
      <c r="E422" s="9">
        <v>4840.0</v>
      </c>
      <c r="F422" s="9">
        <v>4475.0</v>
      </c>
    </row>
    <row r="423" ht="14.25" customHeight="1">
      <c r="A423" s="6" t="str">
        <f t="shared" si="1"/>
        <v>2020-05-28|Екатеринбург</v>
      </c>
      <c r="B423" s="18">
        <v>43979.0</v>
      </c>
      <c r="C423" s="9" t="s">
        <v>12</v>
      </c>
      <c r="D423" s="9">
        <v>31.0</v>
      </c>
      <c r="E423" s="9">
        <v>5355.0</v>
      </c>
      <c r="F423" s="9">
        <v>4969.0</v>
      </c>
    </row>
    <row r="424" ht="14.25" customHeight="1">
      <c r="A424" s="6" t="str">
        <f t="shared" si="1"/>
        <v>2020-05-28|Казань</v>
      </c>
      <c r="B424" s="18">
        <v>43979.0</v>
      </c>
      <c r="C424" s="9" t="s">
        <v>18</v>
      </c>
      <c r="D424" s="9">
        <v>22.0</v>
      </c>
      <c r="E424" s="9">
        <v>2454.0</v>
      </c>
      <c r="F424" s="9">
        <v>2239.0</v>
      </c>
    </row>
    <row r="425" ht="14.25" customHeight="1">
      <c r="A425" s="6" t="str">
        <f t="shared" si="1"/>
        <v>2020-05-28|Кемерово</v>
      </c>
      <c r="B425" s="18">
        <v>43979.0</v>
      </c>
      <c r="C425" s="9" t="s">
        <v>11</v>
      </c>
      <c r="D425" s="9">
        <v>20.0</v>
      </c>
      <c r="E425" s="9">
        <v>1886.0</v>
      </c>
      <c r="F425" s="9">
        <v>1736.0</v>
      </c>
    </row>
    <row r="426" ht="14.25" customHeight="1">
      <c r="A426" s="6" t="str">
        <f t="shared" si="1"/>
        <v>2020-05-28|Краснодар</v>
      </c>
      <c r="B426" s="18">
        <v>43979.0</v>
      </c>
      <c r="C426" s="9" t="s">
        <v>21</v>
      </c>
      <c r="D426" s="9">
        <v>20.0</v>
      </c>
      <c r="E426" s="9">
        <v>1875.0</v>
      </c>
      <c r="F426" s="9">
        <v>1701.0</v>
      </c>
    </row>
    <row r="427" ht="14.25" customHeight="1">
      <c r="A427" s="6" t="str">
        <f t="shared" si="1"/>
        <v>2020-05-28|Москва Восток</v>
      </c>
      <c r="B427" s="18">
        <v>43979.0</v>
      </c>
      <c r="C427" s="9" t="s">
        <v>23</v>
      </c>
      <c r="D427" s="9">
        <v>54.0</v>
      </c>
      <c r="E427" s="9">
        <v>12409.0</v>
      </c>
      <c r="F427" s="9">
        <v>11582.0</v>
      </c>
    </row>
    <row r="428" ht="14.25" customHeight="1">
      <c r="A428" s="6" t="str">
        <f t="shared" si="1"/>
        <v>2020-05-28|Москва Запад</v>
      </c>
      <c r="B428" s="18">
        <v>43979.0</v>
      </c>
      <c r="C428" s="9" t="s">
        <v>22</v>
      </c>
      <c r="D428" s="9">
        <v>60.0</v>
      </c>
      <c r="E428" s="9">
        <v>12854.0</v>
      </c>
      <c r="F428" s="9">
        <v>11954.0</v>
      </c>
    </row>
    <row r="429" ht="14.25" customHeight="1">
      <c r="A429" s="6" t="str">
        <f t="shared" si="1"/>
        <v>2020-05-28|Нижний Новгород</v>
      </c>
      <c r="B429" s="18">
        <v>43979.0</v>
      </c>
      <c r="C429" s="9" t="s">
        <v>14</v>
      </c>
      <c r="D429" s="9">
        <v>20.0</v>
      </c>
      <c r="E429" s="9">
        <v>2088.0</v>
      </c>
      <c r="F429" s="9">
        <v>1848.0</v>
      </c>
    </row>
    <row r="430" ht="14.25" customHeight="1">
      <c r="A430" s="6" t="str">
        <f t="shared" si="1"/>
        <v>2020-05-28|Новосибирск</v>
      </c>
      <c r="B430" s="18">
        <v>43979.0</v>
      </c>
      <c r="C430" s="9" t="s">
        <v>24</v>
      </c>
      <c r="D430" s="9">
        <v>18.0</v>
      </c>
      <c r="E430" s="9">
        <v>1020.0</v>
      </c>
      <c r="F430" s="9">
        <v>911.0</v>
      </c>
    </row>
    <row r="431" ht="14.25" customHeight="1">
      <c r="A431" s="6" t="str">
        <f t="shared" si="1"/>
        <v>2020-05-28|Пермь</v>
      </c>
      <c r="B431" s="18">
        <v>43979.0</v>
      </c>
      <c r="C431" s="9" t="s">
        <v>19</v>
      </c>
      <c r="D431" s="9">
        <v>17.0</v>
      </c>
      <c r="E431" s="9">
        <v>1097.0</v>
      </c>
      <c r="F431" s="9">
        <v>968.0</v>
      </c>
    </row>
    <row r="432" ht="14.25" customHeight="1">
      <c r="A432" s="6" t="str">
        <f t="shared" si="1"/>
        <v>2020-05-28|Ростов-на-Дону</v>
      </c>
      <c r="B432" s="18">
        <v>43979.0</v>
      </c>
      <c r="C432" s="9" t="s">
        <v>20</v>
      </c>
      <c r="D432" s="9">
        <v>16.0</v>
      </c>
      <c r="E432" s="9">
        <v>876.0</v>
      </c>
      <c r="F432" s="9">
        <v>762.0</v>
      </c>
    </row>
    <row r="433" ht="14.25" customHeight="1">
      <c r="A433" s="6" t="str">
        <f t="shared" si="1"/>
        <v>2020-05-28|Самара</v>
      </c>
      <c r="B433" s="18">
        <v>43979.0</v>
      </c>
      <c r="C433" s="9" t="s">
        <v>10</v>
      </c>
      <c r="D433" s="9">
        <v>15.0</v>
      </c>
      <c r="E433" s="9">
        <v>464.0</v>
      </c>
      <c r="F433" s="9">
        <v>390.0</v>
      </c>
    </row>
    <row r="434" ht="14.25" customHeight="1">
      <c r="A434" s="6" t="str">
        <f t="shared" si="1"/>
        <v>2020-05-28|Санкт-Петербург Север</v>
      </c>
      <c r="B434" s="18">
        <v>43979.0</v>
      </c>
      <c r="C434" s="9" t="s">
        <v>16</v>
      </c>
      <c r="D434" s="9">
        <v>124.0</v>
      </c>
      <c r="E434" s="9">
        <v>20868.0</v>
      </c>
      <c r="F434" s="9">
        <v>19342.0</v>
      </c>
    </row>
    <row r="435" ht="14.25" customHeight="1">
      <c r="A435" s="6" t="str">
        <f t="shared" si="1"/>
        <v>2020-05-28|Санкт-Петербург Юг</v>
      </c>
      <c r="B435" s="18">
        <v>43979.0</v>
      </c>
      <c r="C435" s="9" t="s">
        <v>15</v>
      </c>
      <c r="D435" s="9">
        <v>129.0</v>
      </c>
      <c r="E435" s="9">
        <v>16453.0</v>
      </c>
      <c r="F435" s="9">
        <v>15289.0</v>
      </c>
    </row>
    <row r="436" ht="14.25" customHeight="1">
      <c r="A436" s="6" t="str">
        <f t="shared" si="1"/>
        <v>2020-05-28|Тольятти</v>
      </c>
      <c r="B436" s="18">
        <v>43979.0</v>
      </c>
      <c r="C436" s="9" t="s">
        <v>13</v>
      </c>
      <c r="D436" s="9">
        <v>10.0</v>
      </c>
      <c r="E436" s="9">
        <v>791.0</v>
      </c>
      <c r="F436" s="9">
        <v>697.0</v>
      </c>
    </row>
    <row r="437" ht="14.25" customHeight="1">
      <c r="A437" s="6" t="str">
        <f t="shared" si="1"/>
        <v>2020-05-28|Тюмень</v>
      </c>
      <c r="B437" s="18">
        <v>43979.0</v>
      </c>
      <c r="C437" s="9" t="s">
        <v>25</v>
      </c>
      <c r="D437" s="9">
        <v>7.0</v>
      </c>
      <c r="E437" s="9">
        <v>420.0</v>
      </c>
      <c r="F437" s="9">
        <v>347.0</v>
      </c>
    </row>
    <row r="438" ht="14.25" customHeight="1">
      <c r="A438" s="6" t="str">
        <f t="shared" si="1"/>
        <v>2020-05-29|Волгоград</v>
      </c>
      <c r="B438" s="18">
        <v>43980.0</v>
      </c>
      <c r="C438" s="9" t="s">
        <v>17</v>
      </c>
      <c r="D438" s="9">
        <v>37.0</v>
      </c>
      <c r="E438" s="9">
        <v>5672.0</v>
      </c>
      <c r="F438" s="9">
        <v>5198.0</v>
      </c>
    </row>
    <row r="439" ht="14.25" customHeight="1">
      <c r="A439" s="6" t="str">
        <f t="shared" si="1"/>
        <v>2020-05-29|Екатеринбург</v>
      </c>
      <c r="B439" s="18">
        <v>43980.0</v>
      </c>
      <c r="C439" s="9" t="s">
        <v>12</v>
      </c>
      <c r="D439" s="9">
        <v>31.0</v>
      </c>
      <c r="E439" s="9">
        <v>5751.0</v>
      </c>
      <c r="F439" s="9">
        <v>5319.0</v>
      </c>
    </row>
    <row r="440" ht="14.25" customHeight="1">
      <c r="A440" s="6" t="str">
        <f t="shared" si="1"/>
        <v>2020-05-29|Казань</v>
      </c>
      <c r="B440" s="18">
        <v>43980.0</v>
      </c>
      <c r="C440" s="9" t="s">
        <v>18</v>
      </c>
      <c r="D440" s="9">
        <v>22.0</v>
      </c>
      <c r="E440" s="9">
        <v>2597.0</v>
      </c>
      <c r="F440" s="9">
        <v>2379.0</v>
      </c>
    </row>
    <row r="441" ht="14.25" customHeight="1">
      <c r="A441" s="6" t="str">
        <f t="shared" si="1"/>
        <v>2020-05-29|Кемерово</v>
      </c>
      <c r="B441" s="18">
        <v>43980.0</v>
      </c>
      <c r="C441" s="9" t="s">
        <v>11</v>
      </c>
      <c r="D441" s="9">
        <v>20.0</v>
      </c>
      <c r="E441" s="9">
        <v>2111.0</v>
      </c>
      <c r="F441" s="9">
        <v>1917.0</v>
      </c>
    </row>
    <row r="442" ht="14.25" customHeight="1">
      <c r="A442" s="6" t="str">
        <f t="shared" si="1"/>
        <v>2020-05-29|Краснодар</v>
      </c>
      <c r="B442" s="18">
        <v>43980.0</v>
      </c>
      <c r="C442" s="9" t="s">
        <v>21</v>
      </c>
      <c r="D442" s="9">
        <v>20.0</v>
      </c>
      <c r="E442" s="9">
        <v>2064.0</v>
      </c>
      <c r="F442" s="9">
        <v>1896.0</v>
      </c>
    </row>
    <row r="443" ht="14.25" customHeight="1">
      <c r="A443" s="6" t="str">
        <f t="shared" si="1"/>
        <v>2020-05-29|Москва Восток</v>
      </c>
      <c r="B443" s="18">
        <v>43980.0</v>
      </c>
      <c r="C443" s="9" t="s">
        <v>23</v>
      </c>
      <c r="D443" s="9">
        <v>54.0</v>
      </c>
      <c r="E443" s="9">
        <v>14031.0</v>
      </c>
      <c r="F443" s="9">
        <v>12943.0</v>
      </c>
    </row>
    <row r="444" ht="14.25" customHeight="1">
      <c r="A444" s="6" t="str">
        <f t="shared" si="1"/>
        <v>2020-05-29|Москва Запад</v>
      </c>
      <c r="B444" s="18">
        <v>43980.0</v>
      </c>
      <c r="C444" s="9" t="s">
        <v>22</v>
      </c>
      <c r="D444" s="9">
        <v>59.0</v>
      </c>
      <c r="E444" s="9">
        <v>14507.0</v>
      </c>
      <c r="F444" s="9">
        <v>13386.0</v>
      </c>
    </row>
    <row r="445" ht="14.25" customHeight="1">
      <c r="A445" s="6" t="str">
        <f t="shared" si="1"/>
        <v>2020-05-29|Нижний Новгород</v>
      </c>
      <c r="B445" s="18">
        <v>43980.0</v>
      </c>
      <c r="C445" s="9" t="s">
        <v>14</v>
      </c>
      <c r="D445" s="9">
        <v>20.0</v>
      </c>
      <c r="E445" s="9">
        <v>2249.0</v>
      </c>
      <c r="F445" s="9">
        <v>2000.0</v>
      </c>
    </row>
    <row r="446" ht="14.25" customHeight="1">
      <c r="A446" s="6" t="str">
        <f t="shared" si="1"/>
        <v>2020-05-29|Новосибирск</v>
      </c>
      <c r="B446" s="18">
        <v>43980.0</v>
      </c>
      <c r="C446" s="9" t="s">
        <v>24</v>
      </c>
      <c r="D446" s="9">
        <v>18.0</v>
      </c>
      <c r="E446" s="9">
        <v>1014.0</v>
      </c>
      <c r="F446" s="9">
        <v>893.0</v>
      </c>
    </row>
    <row r="447" ht="14.25" customHeight="1">
      <c r="A447" s="6" t="str">
        <f t="shared" si="1"/>
        <v>2020-05-29|Пермь</v>
      </c>
      <c r="B447" s="18">
        <v>43980.0</v>
      </c>
      <c r="C447" s="9" t="s">
        <v>19</v>
      </c>
      <c r="D447" s="9">
        <v>17.0</v>
      </c>
      <c r="E447" s="9">
        <v>1296.0</v>
      </c>
      <c r="F447" s="9">
        <v>1153.0</v>
      </c>
    </row>
    <row r="448" ht="14.25" customHeight="1">
      <c r="A448" s="6" t="str">
        <f t="shared" si="1"/>
        <v>2020-05-29|Ростов-на-Дону</v>
      </c>
      <c r="B448" s="18">
        <v>43980.0</v>
      </c>
      <c r="C448" s="9" t="s">
        <v>20</v>
      </c>
      <c r="D448" s="9">
        <v>16.0</v>
      </c>
      <c r="E448" s="9">
        <v>981.0</v>
      </c>
      <c r="F448" s="9">
        <v>859.0</v>
      </c>
    </row>
    <row r="449" ht="14.25" customHeight="1">
      <c r="A449" s="6" t="str">
        <f t="shared" si="1"/>
        <v>2020-05-29|Самара</v>
      </c>
      <c r="B449" s="18">
        <v>43980.0</v>
      </c>
      <c r="C449" s="9" t="s">
        <v>10</v>
      </c>
      <c r="D449" s="9">
        <v>15.0</v>
      </c>
      <c r="E449" s="9">
        <v>400.0</v>
      </c>
      <c r="F449" s="9">
        <v>329.0</v>
      </c>
    </row>
    <row r="450" ht="14.25" customHeight="1">
      <c r="A450" s="6" t="str">
        <f t="shared" si="1"/>
        <v>2020-05-29|Санкт-Петербург Север</v>
      </c>
      <c r="B450" s="18">
        <v>43980.0</v>
      </c>
      <c r="C450" s="9" t="s">
        <v>16</v>
      </c>
      <c r="D450" s="9">
        <v>124.0</v>
      </c>
      <c r="E450" s="9">
        <v>25828.0</v>
      </c>
      <c r="F450" s="9">
        <v>23974.0</v>
      </c>
    </row>
    <row r="451" ht="14.25" customHeight="1">
      <c r="A451" s="6" t="str">
        <f t="shared" si="1"/>
        <v>2020-05-29|Санкт-Петербург Юг</v>
      </c>
      <c r="B451" s="18">
        <v>43980.0</v>
      </c>
      <c r="C451" s="9" t="s">
        <v>15</v>
      </c>
      <c r="D451" s="9">
        <v>129.0</v>
      </c>
      <c r="E451" s="9">
        <v>22403.0</v>
      </c>
      <c r="F451" s="9">
        <v>20676.0</v>
      </c>
    </row>
    <row r="452" ht="14.25" customHeight="1">
      <c r="A452" s="6" t="str">
        <f t="shared" si="1"/>
        <v>2020-05-29|Тольятти</v>
      </c>
      <c r="B452" s="18">
        <v>43980.0</v>
      </c>
      <c r="C452" s="9" t="s">
        <v>13</v>
      </c>
      <c r="D452" s="9">
        <v>10.0</v>
      </c>
      <c r="E452" s="9">
        <v>873.0</v>
      </c>
      <c r="F452" s="9">
        <v>770.0</v>
      </c>
    </row>
    <row r="453" ht="14.25" customHeight="1">
      <c r="A453" s="6" t="str">
        <f t="shared" si="1"/>
        <v>2020-05-29|Тюмень</v>
      </c>
      <c r="B453" s="18">
        <v>43980.0</v>
      </c>
      <c r="C453" s="9" t="s">
        <v>25</v>
      </c>
      <c r="D453" s="9">
        <v>7.0</v>
      </c>
      <c r="E453" s="9">
        <v>491.0</v>
      </c>
      <c r="F453" s="9">
        <v>411.0</v>
      </c>
    </row>
    <row r="454" ht="14.25" customHeight="1">
      <c r="A454" s="6" t="str">
        <f t="shared" si="1"/>
        <v>2020-05-30|Волгоград</v>
      </c>
      <c r="B454" s="18">
        <v>43981.0</v>
      </c>
      <c r="C454" s="9" t="s">
        <v>17</v>
      </c>
      <c r="D454" s="9">
        <v>37.0</v>
      </c>
      <c r="E454" s="9">
        <v>6645.0</v>
      </c>
      <c r="F454" s="9">
        <v>6122.0</v>
      </c>
    </row>
    <row r="455" ht="14.25" customHeight="1">
      <c r="A455" s="6" t="str">
        <f t="shared" si="1"/>
        <v>2020-05-30|Екатеринбург</v>
      </c>
      <c r="B455" s="18">
        <v>43981.0</v>
      </c>
      <c r="C455" s="9" t="s">
        <v>12</v>
      </c>
      <c r="D455" s="9">
        <v>31.0</v>
      </c>
      <c r="E455" s="9">
        <v>6735.0</v>
      </c>
      <c r="F455" s="9">
        <v>6264.0</v>
      </c>
    </row>
    <row r="456" ht="14.25" customHeight="1">
      <c r="A456" s="6" t="str">
        <f t="shared" si="1"/>
        <v>2020-05-30|Казань</v>
      </c>
      <c r="B456" s="18">
        <v>43981.0</v>
      </c>
      <c r="C456" s="9" t="s">
        <v>18</v>
      </c>
      <c r="D456" s="9">
        <v>22.0</v>
      </c>
      <c r="E456" s="9">
        <v>2793.0</v>
      </c>
      <c r="F456" s="9">
        <v>2539.0</v>
      </c>
    </row>
    <row r="457" ht="14.25" customHeight="1">
      <c r="A457" s="6" t="str">
        <f t="shared" si="1"/>
        <v>2020-05-30|Кемерово</v>
      </c>
      <c r="B457" s="18">
        <v>43981.0</v>
      </c>
      <c r="C457" s="9" t="s">
        <v>11</v>
      </c>
      <c r="D457" s="9">
        <v>20.0</v>
      </c>
      <c r="E457" s="9">
        <v>2597.0</v>
      </c>
      <c r="F457" s="9">
        <v>2376.0</v>
      </c>
    </row>
    <row r="458" ht="14.25" customHeight="1">
      <c r="A458" s="6" t="str">
        <f t="shared" si="1"/>
        <v>2020-05-30|Краснодар</v>
      </c>
      <c r="B458" s="18">
        <v>43981.0</v>
      </c>
      <c r="C458" s="9" t="s">
        <v>21</v>
      </c>
      <c r="D458" s="9">
        <v>20.0</v>
      </c>
      <c r="E458" s="9">
        <v>2174.0</v>
      </c>
      <c r="F458" s="9">
        <v>1957.0</v>
      </c>
    </row>
    <row r="459" ht="14.25" customHeight="1">
      <c r="A459" s="6" t="str">
        <f t="shared" si="1"/>
        <v>2020-05-30|Москва Восток</v>
      </c>
      <c r="B459" s="18">
        <v>43981.0</v>
      </c>
      <c r="C459" s="9" t="s">
        <v>23</v>
      </c>
      <c r="D459" s="9">
        <v>54.0</v>
      </c>
      <c r="E459" s="9">
        <v>14590.0</v>
      </c>
      <c r="F459" s="9">
        <v>13551.0</v>
      </c>
    </row>
    <row r="460" ht="14.25" customHeight="1">
      <c r="A460" s="6" t="str">
        <f t="shared" si="1"/>
        <v>2020-05-30|Москва Запад</v>
      </c>
      <c r="B460" s="18">
        <v>43981.0</v>
      </c>
      <c r="C460" s="9" t="s">
        <v>22</v>
      </c>
      <c r="D460" s="9">
        <v>59.0</v>
      </c>
      <c r="E460" s="9">
        <v>15030.0</v>
      </c>
      <c r="F460" s="9">
        <v>13956.0</v>
      </c>
    </row>
    <row r="461" ht="14.25" customHeight="1">
      <c r="A461" s="6" t="str">
        <f t="shared" si="1"/>
        <v>2020-05-30|Нижний Новгород</v>
      </c>
      <c r="B461" s="18">
        <v>43981.0</v>
      </c>
      <c r="C461" s="9" t="s">
        <v>14</v>
      </c>
      <c r="D461" s="9">
        <v>20.0</v>
      </c>
      <c r="E461" s="9">
        <v>2451.0</v>
      </c>
      <c r="F461" s="9">
        <v>2178.0</v>
      </c>
    </row>
    <row r="462" ht="14.25" customHeight="1">
      <c r="A462" s="6" t="str">
        <f t="shared" si="1"/>
        <v>2020-05-30|Новосибирск</v>
      </c>
      <c r="B462" s="18">
        <v>43981.0</v>
      </c>
      <c r="C462" s="9" t="s">
        <v>24</v>
      </c>
      <c r="D462" s="9">
        <v>18.0</v>
      </c>
      <c r="E462" s="9">
        <v>1216.0</v>
      </c>
      <c r="F462" s="9">
        <v>1101.0</v>
      </c>
    </row>
    <row r="463" ht="14.25" customHeight="1">
      <c r="A463" s="6" t="str">
        <f t="shared" si="1"/>
        <v>2020-05-30|Пермь</v>
      </c>
      <c r="B463" s="18">
        <v>43981.0</v>
      </c>
      <c r="C463" s="9" t="s">
        <v>19</v>
      </c>
      <c r="D463" s="9">
        <v>17.0</v>
      </c>
      <c r="E463" s="9">
        <v>1697.0</v>
      </c>
      <c r="F463" s="9">
        <v>1499.0</v>
      </c>
    </row>
    <row r="464" ht="14.25" customHeight="1">
      <c r="A464" s="6" t="str">
        <f t="shared" si="1"/>
        <v>2020-05-30|Ростов-на-Дону</v>
      </c>
      <c r="B464" s="18">
        <v>43981.0</v>
      </c>
      <c r="C464" s="9" t="s">
        <v>20</v>
      </c>
      <c r="D464" s="9">
        <v>16.0</v>
      </c>
      <c r="E464" s="9">
        <v>1048.0</v>
      </c>
      <c r="F464" s="9">
        <v>918.0</v>
      </c>
    </row>
    <row r="465" ht="14.25" customHeight="1">
      <c r="A465" s="6" t="str">
        <f t="shared" si="1"/>
        <v>2020-05-30|Самара</v>
      </c>
      <c r="B465" s="18">
        <v>43981.0</v>
      </c>
      <c r="C465" s="9" t="s">
        <v>10</v>
      </c>
      <c r="D465" s="9">
        <v>15.0</v>
      </c>
      <c r="E465" s="9">
        <v>490.0</v>
      </c>
      <c r="F465" s="9">
        <v>409.0</v>
      </c>
    </row>
    <row r="466" ht="14.25" customHeight="1">
      <c r="A466" s="6" t="str">
        <f t="shared" si="1"/>
        <v>2020-05-30|Санкт-Петербург Север</v>
      </c>
      <c r="B466" s="18">
        <v>43981.0</v>
      </c>
      <c r="C466" s="9" t="s">
        <v>16</v>
      </c>
      <c r="D466" s="9">
        <v>124.0</v>
      </c>
      <c r="E466" s="9">
        <v>24325.0</v>
      </c>
      <c r="F466" s="9">
        <v>22469.0</v>
      </c>
    </row>
    <row r="467" ht="14.25" customHeight="1">
      <c r="A467" s="6" t="str">
        <f t="shared" si="1"/>
        <v>2020-05-30|Санкт-Петербург Юг</v>
      </c>
      <c r="B467" s="18">
        <v>43981.0</v>
      </c>
      <c r="C467" s="9" t="s">
        <v>15</v>
      </c>
      <c r="D467" s="9">
        <v>129.0</v>
      </c>
      <c r="E467" s="9">
        <v>20243.0</v>
      </c>
      <c r="F467" s="9">
        <v>18711.0</v>
      </c>
    </row>
    <row r="468" ht="14.25" customHeight="1">
      <c r="A468" s="6" t="str">
        <f t="shared" si="1"/>
        <v>2020-05-30|Тольятти</v>
      </c>
      <c r="B468" s="18">
        <v>43981.0</v>
      </c>
      <c r="C468" s="9" t="s">
        <v>13</v>
      </c>
      <c r="D468" s="9">
        <v>10.0</v>
      </c>
      <c r="E468" s="9">
        <v>865.0</v>
      </c>
      <c r="F468" s="9">
        <v>763.0</v>
      </c>
    </row>
    <row r="469" ht="14.25" customHeight="1">
      <c r="A469" s="6" t="str">
        <f t="shared" si="1"/>
        <v>2020-05-30|Тюмень</v>
      </c>
      <c r="B469" s="18">
        <v>43981.0</v>
      </c>
      <c r="C469" s="9" t="s">
        <v>25</v>
      </c>
      <c r="D469" s="9">
        <v>7.0</v>
      </c>
      <c r="E469" s="9">
        <v>532.0</v>
      </c>
      <c r="F469" s="9">
        <v>449.0</v>
      </c>
    </row>
    <row r="470" ht="14.25" customHeight="1">
      <c r="A470" s="6" t="str">
        <f t="shared" si="1"/>
        <v>2020-05-31|Волгоград</v>
      </c>
      <c r="B470" s="18">
        <v>43982.0</v>
      </c>
      <c r="C470" s="9" t="s">
        <v>17</v>
      </c>
      <c r="D470" s="9">
        <v>37.0</v>
      </c>
      <c r="E470" s="9">
        <v>5215.0</v>
      </c>
      <c r="F470" s="9">
        <v>4848.0</v>
      </c>
    </row>
    <row r="471" ht="14.25" customHeight="1">
      <c r="A471" s="6" t="str">
        <f t="shared" si="1"/>
        <v>2020-05-31|Екатеринбург</v>
      </c>
      <c r="B471" s="18">
        <v>43982.0</v>
      </c>
      <c r="C471" s="9" t="s">
        <v>12</v>
      </c>
      <c r="D471" s="9">
        <v>31.0</v>
      </c>
      <c r="E471" s="9">
        <v>5760.0</v>
      </c>
      <c r="F471" s="9">
        <v>5367.0</v>
      </c>
    </row>
    <row r="472" ht="14.25" customHeight="1">
      <c r="A472" s="6" t="str">
        <f t="shared" si="1"/>
        <v>2020-05-31|Казань</v>
      </c>
      <c r="B472" s="18">
        <v>43982.0</v>
      </c>
      <c r="C472" s="9" t="s">
        <v>18</v>
      </c>
      <c r="D472" s="9">
        <v>23.0</v>
      </c>
      <c r="E472" s="9">
        <v>2522.0</v>
      </c>
      <c r="F472" s="9">
        <v>2295.0</v>
      </c>
    </row>
    <row r="473" ht="14.25" customHeight="1">
      <c r="A473" s="6" t="str">
        <f t="shared" si="1"/>
        <v>2020-05-31|Кемерово</v>
      </c>
      <c r="B473" s="18">
        <v>43982.0</v>
      </c>
      <c r="C473" s="9" t="s">
        <v>11</v>
      </c>
      <c r="D473" s="9">
        <v>21.0</v>
      </c>
      <c r="E473" s="9">
        <v>2271.0</v>
      </c>
      <c r="F473" s="9">
        <v>2085.0</v>
      </c>
    </row>
    <row r="474" ht="14.25" customHeight="1">
      <c r="A474" s="6" t="str">
        <f t="shared" si="1"/>
        <v>2020-05-31|Краснодар</v>
      </c>
      <c r="B474" s="18">
        <v>43982.0</v>
      </c>
      <c r="C474" s="9" t="s">
        <v>21</v>
      </c>
      <c r="D474" s="9">
        <v>21.0</v>
      </c>
      <c r="E474" s="9">
        <v>2056.0</v>
      </c>
      <c r="F474" s="9">
        <v>1879.0</v>
      </c>
    </row>
    <row r="475" ht="14.25" customHeight="1">
      <c r="A475" s="6" t="str">
        <f t="shared" si="1"/>
        <v>2020-05-31|Москва Восток</v>
      </c>
      <c r="B475" s="18">
        <v>43982.0</v>
      </c>
      <c r="C475" s="9" t="s">
        <v>23</v>
      </c>
      <c r="D475" s="9">
        <v>54.0</v>
      </c>
      <c r="E475" s="9">
        <v>13106.0</v>
      </c>
      <c r="F475" s="9">
        <v>12164.0</v>
      </c>
    </row>
    <row r="476" ht="14.25" customHeight="1">
      <c r="A476" s="6" t="str">
        <f t="shared" si="1"/>
        <v>2020-05-31|Москва Запад</v>
      </c>
      <c r="B476" s="18">
        <v>43982.0</v>
      </c>
      <c r="C476" s="9" t="s">
        <v>22</v>
      </c>
      <c r="D476" s="9">
        <v>59.0</v>
      </c>
      <c r="E476" s="9">
        <v>13684.0</v>
      </c>
      <c r="F476" s="9">
        <v>12690.0</v>
      </c>
    </row>
    <row r="477" ht="14.25" customHeight="1">
      <c r="A477" s="6" t="str">
        <f t="shared" si="1"/>
        <v>2020-05-31|Нижний Новгород</v>
      </c>
      <c r="B477" s="18">
        <v>43982.0</v>
      </c>
      <c r="C477" s="9" t="s">
        <v>14</v>
      </c>
      <c r="D477" s="9">
        <v>20.0</v>
      </c>
      <c r="E477" s="9">
        <v>2060.0</v>
      </c>
      <c r="F477" s="9">
        <v>1826.0</v>
      </c>
    </row>
    <row r="478" ht="14.25" customHeight="1">
      <c r="A478" s="6" t="str">
        <f t="shared" si="1"/>
        <v>2020-05-31|Новосибирск</v>
      </c>
      <c r="B478" s="18">
        <v>43982.0</v>
      </c>
      <c r="C478" s="9" t="s">
        <v>24</v>
      </c>
      <c r="D478" s="9">
        <v>18.0</v>
      </c>
      <c r="E478" s="9">
        <v>1029.0</v>
      </c>
      <c r="F478" s="9">
        <v>925.0</v>
      </c>
    </row>
    <row r="479" ht="14.25" customHeight="1">
      <c r="A479" s="6" t="str">
        <f t="shared" si="1"/>
        <v>2020-05-31|Пермь</v>
      </c>
      <c r="B479" s="18">
        <v>43982.0</v>
      </c>
      <c r="C479" s="9" t="s">
        <v>19</v>
      </c>
      <c r="D479" s="9">
        <v>17.0</v>
      </c>
      <c r="E479" s="9">
        <v>1186.0</v>
      </c>
      <c r="F479" s="9">
        <v>1054.0</v>
      </c>
    </row>
    <row r="480" ht="14.25" customHeight="1">
      <c r="A480" s="6" t="str">
        <f t="shared" si="1"/>
        <v>2020-05-31|Ростов-на-Дону</v>
      </c>
      <c r="B480" s="18">
        <v>43982.0</v>
      </c>
      <c r="C480" s="9" t="s">
        <v>20</v>
      </c>
      <c r="D480" s="9">
        <v>16.0</v>
      </c>
      <c r="E480" s="9">
        <v>917.0</v>
      </c>
      <c r="F480" s="9">
        <v>802.0</v>
      </c>
    </row>
    <row r="481" ht="14.25" customHeight="1">
      <c r="A481" s="6" t="str">
        <f t="shared" si="1"/>
        <v>2020-05-31|Самара</v>
      </c>
      <c r="B481" s="18">
        <v>43982.0</v>
      </c>
      <c r="C481" s="9" t="s">
        <v>10</v>
      </c>
      <c r="D481" s="9">
        <v>15.0</v>
      </c>
      <c r="E481" s="9">
        <v>441.0</v>
      </c>
      <c r="F481" s="9">
        <v>368.0</v>
      </c>
    </row>
    <row r="482" ht="14.25" customHeight="1">
      <c r="A482" s="6" t="str">
        <f t="shared" si="1"/>
        <v>2020-05-31|Санкт-Петербург Север</v>
      </c>
      <c r="B482" s="18">
        <v>43982.0</v>
      </c>
      <c r="C482" s="9" t="s">
        <v>16</v>
      </c>
      <c r="D482" s="9">
        <v>124.0</v>
      </c>
      <c r="E482" s="9">
        <v>21392.0</v>
      </c>
      <c r="F482" s="9">
        <v>19869.0</v>
      </c>
    </row>
    <row r="483" ht="14.25" customHeight="1">
      <c r="A483" s="6" t="str">
        <f t="shared" si="1"/>
        <v>2020-05-31|Санкт-Петербург Юг</v>
      </c>
      <c r="B483" s="18">
        <v>43982.0</v>
      </c>
      <c r="C483" s="9" t="s">
        <v>15</v>
      </c>
      <c r="D483" s="9">
        <v>129.0</v>
      </c>
      <c r="E483" s="9">
        <v>17235.0</v>
      </c>
      <c r="F483" s="9">
        <v>16052.0</v>
      </c>
    </row>
    <row r="484" ht="14.25" customHeight="1">
      <c r="A484" s="6" t="str">
        <f t="shared" si="1"/>
        <v>2020-05-31|Тольятти</v>
      </c>
      <c r="B484" s="18">
        <v>43982.0</v>
      </c>
      <c r="C484" s="9" t="s">
        <v>13</v>
      </c>
      <c r="D484" s="9">
        <v>10.0</v>
      </c>
      <c r="E484" s="9">
        <v>749.0</v>
      </c>
      <c r="F484" s="9">
        <v>655.0</v>
      </c>
    </row>
    <row r="485" ht="14.25" customHeight="1">
      <c r="A485" s="6" t="str">
        <f t="shared" si="1"/>
        <v>2020-05-31|Томск</v>
      </c>
      <c r="B485" s="18">
        <v>43982.0</v>
      </c>
      <c r="C485" s="9" t="s">
        <v>26</v>
      </c>
      <c r="D485" s="9">
        <v>9.0</v>
      </c>
      <c r="E485" s="9">
        <v>345.0</v>
      </c>
      <c r="F485" s="9">
        <v>255.0</v>
      </c>
    </row>
    <row r="486" ht="14.25" customHeight="1">
      <c r="A486" s="6" t="str">
        <f t="shared" si="1"/>
        <v>2020-05-31|Тюмень</v>
      </c>
      <c r="B486" s="18">
        <v>43982.0</v>
      </c>
      <c r="C486" s="9" t="s">
        <v>25</v>
      </c>
      <c r="D486" s="9">
        <v>7.0</v>
      </c>
      <c r="E486" s="9">
        <v>530.0</v>
      </c>
      <c r="F486" s="9">
        <v>447.0</v>
      </c>
    </row>
    <row r="487" ht="14.25" customHeight="1">
      <c r="A487" s="6" t="str">
        <f t="shared" si="1"/>
        <v>2020-05-31|Уфа</v>
      </c>
      <c r="B487" s="18">
        <v>43982.0</v>
      </c>
      <c r="C487" s="9" t="s">
        <v>27</v>
      </c>
      <c r="D487" s="9">
        <v>6.0</v>
      </c>
      <c r="E487" s="9">
        <v>261.0</v>
      </c>
      <c r="F487" s="9">
        <v>188.0</v>
      </c>
    </row>
    <row r="488" ht="14.25" customHeight="1">
      <c r="A488" s="6" t="str">
        <f t="shared" si="1"/>
        <v>2020-06-01|Волгоград</v>
      </c>
      <c r="B488" s="18">
        <v>43983.0</v>
      </c>
      <c r="C488" s="9" t="s">
        <v>17</v>
      </c>
      <c r="D488" s="9">
        <v>37.0</v>
      </c>
      <c r="E488" s="9">
        <v>4722.0</v>
      </c>
      <c r="F488" s="9">
        <v>4352.0</v>
      </c>
    </row>
    <row r="489" ht="14.25" customHeight="1">
      <c r="A489" s="6" t="str">
        <f t="shared" si="1"/>
        <v>2020-06-01|Екатеринбург</v>
      </c>
      <c r="B489" s="18">
        <v>43983.0</v>
      </c>
      <c r="C489" s="9" t="s">
        <v>12</v>
      </c>
      <c r="D489" s="9">
        <v>31.0</v>
      </c>
      <c r="E489" s="9">
        <v>5468.0</v>
      </c>
      <c r="F489" s="9">
        <v>5081.0</v>
      </c>
    </row>
    <row r="490" ht="14.25" customHeight="1">
      <c r="A490" s="6" t="str">
        <f t="shared" si="1"/>
        <v>2020-06-01|Казань</v>
      </c>
      <c r="B490" s="18">
        <v>43983.0</v>
      </c>
      <c r="C490" s="9" t="s">
        <v>18</v>
      </c>
      <c r="D490" s="9">
        <v>23.0</v>
      </c>
      <c r="E490" s="9">
        <v>2531.0</v>
      </c>
      <c r="F490" s="9">
        <v>2296.0</v>
      </c>
    </row>
    <row r="491" ht="14.25" customHeight="1">
      <c r="A491" s="6" t="str">
        <f t="shared" si="1"/>
        <v>2020-06-01|Кемерово</v>
      </c>
      <c r="B491" s="18">
        <v>43983.0</v>
      </c>
      <c r="C491" s="9" t="s">
        <v>11</v>
      </c>
      <c r="D491" s="9">
        <v>21.0</v>
      </c>
      <c r="E491" s="9">
        <v>2025.0</v>
      </c>
      <c r="F491" s="9">
        <v>1849.0</v>
      </c>
    </row>
    <row r="492" ht="14.25" customHeight="1">
      <c r="A492" s="6" t="str">
        <f t="shared" si="1"/>
        <v>2020-06-01|Краснодар</v>
      </c>
      <c r="B492" s="18">
        <v>43983.0</v>
      </c>
      <c r="C492" s="9" t="s">
        <v>21</v>
      </c>
      <c r="D492" s="9">
        <v>21.0</v>
      </c>
      <c r="E492" s="9">
        <v>1879.0</v>
      </c>
      <c r="F492" s="9">
        <v>1720.0</v>
      </c>
    </row>
    <row r="493" ht="14.25" customHeight="1">
      <c r="A493" s="6" t="str">
        <f t="shared" si="1"/>
        <v>2020-06-01|Москва Восток</v>
      </c>
      <c r="B493" s="18">
        <v>43983.0</v>
      </c>
      <c r="C493" s="9" t="s">
        <v>23</v>
      </c>
      <c r="D493" s="9">
        <v>54.0</v>
      </c>
      <c r="E493" s="9">
        <v>11864.0</v>
      </c>
      <c r="F493" s="9">
        <v>11071.0</v>
      </c>
    </row>
    <row r="494" ht="14.25" customHeight="1">
      <c r="A494" s="6" t="str">
        <f t="shared" si="1"/>
        <v>2020-06-01|Москва Запад</v>
      </c>
      <c r="B494" s="18">
        <v>43983.0</v>
      </c>
      <c r="C494" s="9" t="s">
        <v>22</v>
      </c>
      <c r="D494" s="9">
        <v>59.0</v>
      </c>
      <c r="E494" s="9">
        <v>12299.0</v>
      </c>
      <c r="F494" s="9">
        <v>11448.0</v>
      </c>
    </row>
    <row r="495" ht="14.25" customHeight="1">
      <c r="A495" s="6" t="str">
        <f t="shared" si="1"/>
        <v>2020-06-01|Нижний Новгород</v>
      </c>
      <c r="B495" s="18">
        <v>43983.0</v>
      </c>
      <c r="C495" s="9" t="s">
        <v>14</v>
      </c>
      <c r="D495" s="9">
        <v>20.0</v>
      </c>
      <c r="E495" s="9">
        <v>2136.0</v>
      </c>
      <c r="F495" s="9">
        <v>1899.0</v>
      </c>
    </row>
    <row r="496" ht="14.25" customHeight="1">
      <c r="A496" s="6" t="str">
        <f t="shared" si="1"/>
        <v>2020-06-01|Новосибирск</v>
      </c>
      <c r="B496" s="18">
        <v>43983.0</v>
      </c>
      <c r="C496" s="9" t="s">
        <v>24</v>
      </c>
      <c r="D496" s="9">
        <v>18.0</v>
      </c>
      <c r="E496" s="9">
        <v>923.0</v>
      </c>
      <c r="F496" s="9">
        <v>824.0</v>
      </c>
    </row>
    <row r="497" ht="14.25" customHeight="1">
      <c r="A497" s="6" t="str">
        <f t="shared" si="1"/>
        <v>2020-06-01|Пермь</v>
      </c>
      <c r="B497" s="18">
        <v>43983.0</v>
      </c>
      <c r="C497" s="9" t="s">
        <v>19</v>
      </c>
      <c r="D497" s="9">
        <v>17.0</v>
      </c>
      <c r="E497" s="9">
        <v>1185.0</v>
      </c>
      <c r="F497" s="9">
        <v>1042.0</v>
      </c>
    </row>
    <row r="498" ht="14.25" customHeight="1">
      <c r="A498" s="6" t="str">
        <f t="shared" si="1"/>
        <v>2020-06-01|Ростов-на-Дону</v>
      </c>
      <c r="B498" s="18">
        <v>43983.0</v>
      </c>
      <c r="C498" s="9" t="s">
        <v>20</v>
      </c>
      <c r="D498" s="9">
        <v>16.0</v>
      </c>
      <c r="E498" s="9">
        <v>1019.0</v>
      </c>
      <c r="F498" s="9">
        <v>895.0</v>
      </c>
    </row>
    <row r="499" ht="14.25" customHeight="1">
      <c r="A499" s="6" t="str">
        <f t="shared" si="1"/>
        <v>2020-06-01|Самара</v>
      </c>
      <c r="B499" s="18">
        <v>43983.0</v>
      </c>
      <c r="C499" s="9" t="s">
        <v>10</v>
      </c>
      <c r="D499" s="9">
        <v>15.0</v>
      </c>
      <c r="E499" s="9">
        <v>453.0</v>
      </c>
      <c r="F499" s="9">
        <v>370.0</v>
      </c>
    </row>
    <row r="500" ht="14.25" customHeight="1">
      <c r="A500" s="6" t="str">
        <f t="shared" si="1"/>
        <v>2020-06-01|Санкт-Петербург Север</v>
      </c>
      <c r="B500" s="18">
        <v>43983.0</v>
      </c>
      <c r="C500" s="9" t="s">
        <v>16</v>
      </c>
      <c r="D500" s="9">
        <v>123.0</v>
      </c>
      <c r="E500" s="9">
        <v>20325.0</v>
      </c>
      <c r="F500" s="9">
        <v>18935.0</v>
      </c>
    </row>
    <row r="501" ht="14.25" customHeight="1">
      <c r="A501" s="6" t="str">
        <f t="shared" si="1"/>
        <v>2020-06-01|Санкт-Петербург Юг</v>
      </c>
      <c r="B501" s="18">
        <v>43983.0</v>
      </c>
      <c r="C501" s="9" t="s">
        <v>15</v>
      </c>
      <c r="D501" s="9">
        <v>128.0</v>
      </c>
      <c r="E501" s="9">
        <v>16285.0</v>
      </c>
      <c r="F501" s="9">
        <v>15130.0</v>
      </c>
    </row>
    <row r="502" ht="14.25" customHeight="1">
      <c r="A502" s="6" t="str">
        <f t="shared" si="1"/>
        <v>2020-06-01|Тольятти</v>
      </c>
      <c r="B502" s="18">
        <v>43983.0</v>
      </c>
      <c r="C502" s="9" t="s">
        <v>13</v>
      </c>
      <c r="D502" s="9">
        <v>10.0</v>
      </c>
      <c r="E502" s="9">
        <v>719.0</v>
      </c>
      <c r="F502" s="9">
        <v>627.0</v>
      </c>
    </row>
    <row r="503" ht="14.25" customHeight="1">
      <c r="A503" s="6" t="str">
        <f t="shared" si="1"/>
        <v>2020-06-01|Томск</v>
      </c>
      <c r="B503" s="18">
        <v>43983.0</v>
      </c>
      <c r="C503" s="9" t="s">
        <v>26</v>
      </c>
      <c r="D503" s="9">
        <v>9.0</v>
      </c>
      <c r="E503" s="9">
        <v>294.0</v>
      </c>
      <c r="F503" s="9">
        <v>224.0</v>
      </c>
    </row>
    <row r="504" ht="14.25" customHeight="1">
      <c r="A504" s="6" t="str">
        <f t="shared" si="1"/>
        <v>2020-06-01|Тюмень</v>
      </c>
      <c r="B504" s="18">
        <v>43983.0</v>
      </c>
      <c r="C504" s="9" t="s">
        <v>25</v>
      </c>
      <c r="D504" s="9">
        <v>7.0</v>
      </c>
      <c r="E504" s="9">
        <v>500.0</v>
      </c>
      <c r="F504" s="9">
        <v>418.0</v>
      </c>
    </row>
    <row r="505" ht="14.25" customHeight="1">
      <c r="A505" s="6" t="str">
        <f t="shared" si="1"/>
        <v>2020-06-01|Уфа</v>
      </c>
      <c r="B505" s="18">
        <v>43983.0</v>
      </c>
      <c r="C505" s="9" t="s">
        <v>27</v>
      </c>
      <c r="D505" s="9">
        <v>6.0</v>
      </c>
      <c r="E505" s="9">
        <v>237.0</v>
      </c>
      <c r="F505" s="9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0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